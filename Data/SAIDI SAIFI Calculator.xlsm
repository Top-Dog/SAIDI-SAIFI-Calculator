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0" windowWidth="28800" windowHeight="13635" tabRatio="838"/>
  </bookViews>
  <sheets>
    <sheet name="Input" sheetId="1" r:id="rId1"/>
    <sheet name="Statistics" sheetId="3" r:id="rId2"/>
    <sheet name="Calculation 2016" sheetId="227" r:id="rId3"/>
    <sheet name="Current Month SAIDI and SAIFI" sheetId="228" r:id="rId4"/>
    <sheet name="Calculation User Defined" sheetId="229" r:id="rId5"/>
  </sheets>
  <calcPr calcId="145621"/>
</workbook>
</file>

<file path=xl/calcChain.xml><?xml version="1.0" encoding="utf-8"?>
<calcChain xmlns="http://schemas.openxmlformats.org/spreadsheetml/2006/main">
  <c r="F49" i="228" l="1"/>
  <c r="I49" i="228" s="1"/>
  <c r="F50" i="228" s="1"/>
  <c r="D49" i="228"/>
  <c r="C49" i="228"/>
  <c r="F44" i="228"/>
  <c r="I44" i="228" s="1"/>
  <c r="F45" i="228" s="1"/>
  <c r="D44" i="228"/>
  <c r="C44" i="228"/>
  <c r="M42" i="228"/>
  <c r="M46" i="228" s="1"/>
  <c r="M31" i="228"/>
  <c r="F30" i="228"/>
  <c r="I30" i="228" s="1"/>
  <c r="F31" i="228" s="1"/>
  <c r="D30" i="228"/>
  <c r="C30" i="228"/>
  <c r="M27" i="228"/>
  <c r="F25" i="228"/>
  <c r="I25" i="228" s="1"/>
  <c r="F26" i="228" s="1"/>
  <c r="D25" i="228"/>
  <c r="C25" i="228"/>
  <c r="F11" i="228"/>
  <c r="I11" i="228" s="1"/>
  <c r="F12" i="228" s="1"/>
  <c r="D11" i="228"/>
  <c r="C11" i="228"/>
  <c r="F6" i="228"/>
  <c r="I6" i="228" s="1"/>
  <c r="F7" i="228" s="1"/>
  <c r="D6" i="228"/>
  <c r="C6" i="228"/>
  <c r="M4" i="228"/>
  <c r="M12" i="228" s="1"/>
  <c r="M50" i="228" l="1"/>
  <c r="M8" i="228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<sst xmlns="http://schemas.openxmlformats.org/spreadsheetml/2006/main" count="293" uniqueCount="85">
  <si>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</si>
  <si>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</si>
  <si>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</si>
  <si>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</si>
  <si>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</si>
  <si>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</si>
  <si>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</si>
  <si>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</si>
  <si>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</si>
  <si>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</si>
  <si>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</si>
  <si>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</si>
  <si>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</si>
  <si>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</si>
  <si>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</si>
  <si>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</si>
  <si>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</si>
  <si>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</si>
  <si>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</si>
  <si>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</si>
  <si>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</si>
  <si>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</si>
  <si>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</si>
  <si>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</si>
  <si>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</si>
  <si>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</si>
  <si>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</si>
  <si>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</si>
  <si>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</si>
  <si>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</si>
  <si>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</si>
  <si>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</si>
  <si>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</si>
  <si>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</si>
  <si>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</si>
  <si>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</si>
  <si>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</si>
  <si>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</si>
  <si>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</si>
  <si>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</si>
  <si>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</si>
  <si>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</si>
  <si>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</si>
  <si>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</si>
  <si>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</si>
  <si>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</si>
  <si>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</si>
  <si>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</si>
  <si>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</si>
  <si>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</si>
  <si>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</si>
  <si>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</si>
  <si>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</si>
  <si>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</si>
  <si>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</si>
  <si>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</si>
  <si>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</si>
  <si>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</si>
  <si>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</si>
  <si>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</si>
  <si>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</si>
  <si>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</si>
  <si>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</si>
  <si>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</si>
  <si>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</si>
  <si>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</si>
  <si>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</si>
  <si>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</si>
  <si>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</si>
  <si>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</si>
  <si>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YTD Cap</t>
  </si>
  <si>
    <t>YTD Collar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</si>
  <si>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</si>
  <si>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</si>
  <si>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</si>
  <si>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</si>
  <si>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</si>
  <si>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</si>
  <si>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</si>
  <si>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</si>
  <si>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Planned Faults</t>
  </si>
  <si>
    <t>- Number of Unplanned Faults</t>
  </si>
  <si>
    <t>- Number of Major Event Days (SAIDI)</t>
  </si>
  <si>
    <t>- Number of Major Event Days (SAIFI)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</si>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</sst>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  <numFmt numFmtId="170" formatCode="_(* #,##0.00000_);_(* \(#,##0.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170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9760"/>
        <c:axId val="52951296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49760"/>
        <c:axId val="52951296"/>
      </c:lineChart>
      <c:dateAx>
        <c:axId val="5294976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2951296"/>
        <c:crosses val="autoZero"/>
        <c:auto val="1"/>
        <c:lblOffset val="100"/>
        <c:baseTimeUnit val="days"/>
      </c:dateAx>
      <c:valAx>
        <c:axId val="52951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9497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57344"/>
        <c:axId val="60863232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57344"/>
        <c:axId val="60863232"/>
      </c:lineChart>
      <c:dateAx>
        <c:axId val="6085734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0863232"/>
        <c:crosses val="autoZero"/>
        <c:auto val="1"/>
        <c:lblOffset val="100"/>
        <c:baseTimeUnit val="days"/>
      </c:dateAx>
      <c:valAx>
        <c:axId val="60863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857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98304"/>
        <c:axId val="60908288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98304"/>
        <c:axId val="60908288"/>
      </c:lineChart>
      <c:dateAx>
        <c:axId val="6089830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0908288"/>
        <c:crosses val="autoZero"/>
        <c:auto val="1"/>
        <c:lblOffset val="100"/>
        <c:baseTimeUnit val="days"/>
      </c:dateAx>
      <c:valAx>
        <c:axId val="60908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898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43616"/>
        <c:axId val="61345152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43616"/>
        <c:axId val="61345152"/>
      </c:lineChart>
      <c:dateAx>
        <c:axId val="6134361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1345152"/>
        <c:crosses val="autoZero"/>
        <c:auto val="1"/>
        <c:lblOffset val="100"/>
        <c:baseTimeUnit val="days"/>
      </c:dateAx>
      <c:valAx>
        <c:axId val="61345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3436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95328"/>
        <c:axId val="61396864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95328"/>
        <c:axId val="61396864"/>
      </c:lineChart>
      <c:dateAx>
        <c:axId val="6139532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1396864"/>
        <c:crosses val="autoZero"/>
        <c:auto val="1"/>
        <c:lblOffset val="100"/>
        <c:baseTimeUnit val="days"/>
      </c:dateAx>
      <c:valAx>
        <c:axId val="61396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3953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88992"/>
        <c:axId val="61590528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88992"/>
        <c:axId val="61590528"/>
      </c:lineChart>
      <c:dateAx>
        <c:axId val="6158899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1590528"/>
        <c:crosses val="autoZero"/>
        <c:auto val="1"/>
        <c:lblOffset val="100"/>
        <c:baseTimeUnit val="days"/>
      </c:dateAx>
      <c:valAx>
        <c:axId val="61590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88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52384"/>
        <c:axId val="61953920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52384"/>
        <c:axId val="61953920"/>
      </c:lineChart>
      <c:dateAx>
        <c:axId val="6195238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1953920"/>
        <c:crosses val="autoZero"/>
        <c:auto val="1"/>
        <c:lblOffset val="100"/>
        <c:baseTimeUnit val="days"/>
      </c:dateAx>
      <c:valAx>
        <c:axId val="61953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952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78880"/>
        <c:axId val="62398464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78880"/>
        <c:axId val="62398464"/>
      </c:lineChart>
      <c:dateAx>
        <c:axId val="6197888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398464"/>
        <c:crosses val="autoZero"/>
        <c:auto val="1"/>
        <c:lblOffset val="100"/>
        <c:baseTimeUnit val="days"/>
      </c:dateAx>
      <c:valAx>
        <c:axId val="62398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9788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6096"/>
        <c:axId val="62437632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36096"/>
        <c:axId val="62437632"/>
      </c:lineChart>
      <c:dateAx>
        <c:axId val="6243609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437632"/>
        <c:crosses val="autoZero"/>
        <c:auto val="1"/>
        <c:lblOffset val="100"/>
        <c:baseTimeUnit val="days"/>
      </c:dateAx>
      <c:valAx>
        <c:axId val="6243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436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7568"/>
        <c:axId val="62563456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7568"/>
        <c:axId val="62563456"/>
      </c:lineChart>
      <c:dateAx>
        <c:axId val="6255756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563456"/>
        <c:crosses val="autoZero"/>
        <c:auto val="1"/>
        <c:lblOffset val="100"/>
        <c:baseTimeUnit val="days"/>
      </c:dateAx>
      <c:valAx>
        <c:axId val="62563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557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52256"/>
        <c:axId val="62753792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2256"/>
        <c:axId val="62753792"/>
      </c:lineChart>
      <c:dateAx>
        <c:axId val="6275225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753792"/>
        <c:crosses val="autoZero"/>
        <c:auto val="1"/>
        <c:lblOffset val="100"/>
        <c:baseTimeUnit val="days"/>
      </c:dateAx>
      <c:valAx>
        <c:axId val="6275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7522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24832"/>
        <c:axId val="62826368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24832"/>
        <c:axId val="62826368"/>
      </c:lineChart>
      <c:dateAx>
        <c:axId val="6282483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2826368"/>
        <c:crosses val="autoZero"/>
        <c:auto val="1"/>
        <c:lblOffset val="100"/>
        <c:baseTimeUnit val="days"/>
      </c:dateAx>
      <c:valAx>
        <c:axId val="62826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824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1209675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tabSelected="1" workbookViewId="0">
      <selection activeCell="F18" sqref="F18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66" t="s">
        <v>0</v>
      </c>
      <c r="B1" s="67" t="s">
        <v>23</v>
      </c>
      <c r="C1" s="65" t="s">
        <v>17</v>
      </c>
      <c r="D1" s="65"/>
      <c r="E1" s="65"/>
      <c r="F1" s="65"/>
      <c r="G1" s="67" t="s">
        <v>18</v>
      </c>
      <c r="H1" s="7"/>
      <c r="K1" s="63" t="s">
        <v>27</v>
      </c>
      <c r="L1" s="63" t="s">
        <v>39</v>
      </c>
      <c r="M1" s="64" t="s">
        <v>40</v>
      </c>
      <c r="N1" s="65"/>
      <c r="O1" s="65"/>
      <c r="P1" s="65"/>
    </row>
    <row r="2" spans="1:21" ht="24" customHeight="1" x14ac:dyDescent="0.25">
      <c r="A2" s="66"/>
      <c r="B2" s="68"/>
      <c r="C2" s="4" t="s">
        <v>24</v>
      </c>
      <c r="D2" s="4" t="s">
        <v>6</v>
      </c>
      <c r="E2" s="4" t="s">
        <v>11</v>
      </c>
      <c r="F2" s="4" t="s">
        <v>21</v>
      </c>
      <c r="G2" s="68"/>
      <c r="H2" s="8"/>
      <c r="K2" s="63"/>
      <c r="L2" s="63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84</v>
      </c>
      <c r="I3" s="2"/>
      <c r="K3" t="s">
        <v>45</v>
      </c>
      <c r="L3" s="10">
        <v>2017</v>
      </c>
      <c r="M3" s="53">
        <v>17377</v>
      </c>
      <c r="N3" s="54">
        <v>35608</v>
      </c>
      <c r="O3" s="54">
        <v>14912</v>
      </c>
      <c r="P3" s="54">
        <v>877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57" t="s">
        <v>84</v>
      </c>
      <c r="K4" t="s">
        <v>30</v>
      </c>
      <c r="L4" s="10">
        <v>2017</v>
      </c>
      <c r="M4" s="53">
        <v>17383</v>
      </c>
      <c r="N4" s="6">
        <v>35603</v>
      </c>
      <c r="O4" s="6">
        <v>14918</v>
      </c>
      <c r="P4" s="6">
        <v>891</v>
      </c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57" t="s">
        <v>84</v>
      </c>
      <c r="K5" t="s">
        <v>31</v>
      </c>
      <c r="L5" s="10">
        <v>2017</v>
      </c>
      <c r="M5" s="53"/>
      <c r="N5" s="6"/>
      <c r="O5" s="6"/>
      <c r="P5" s="6"/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57" t="s">
        <v>84</v>
      </c>
      <c r="K6" t="s">
        <v>32</v>
      </c>
      <c r="L6" s="10">
        <v>2017</v>
      </c>
      <c r="M6" s="53"/>
      <c r="N6" s="6"/>
      <c r="O6" s="6"/>
      <c r="P6" s="6"/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57" t="s">
        <v>84</v>
      </c>
      <c r="K7" t="s">
        <v>33</v>
      </c>
      <c r="L7" s="10">
        <v>2017</v>
      </c>
      <c r="M7" s="53"/>
      <c r="N7" s="6"/>
      <c r="O7" s="6"/>
      <c r="P7" s="6"/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57" t="s">
        <v>84</v>
      </c>
      <c r="K8" t="s">
        <v>34</v>
      </c>
      <c r="L8" s="10">
        <v>2017</v>
      </c>
      <c r="M8" s="53"/>
      <c r="N8" s="54"/>
      <c r="O8" s="54"/>
      <c r="P8" s="54"/>
    </row>
    <row r="9" spans="1:21" x14ac:dyDescent="0.25">
      <c r="A9" s="62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57" t="s">
        <v>84</v>
      </c>
      <c r="K9" t="s">
        <v>35</v>
      </c>
      <c r="L9" s="10">
        <v>2017</v>
      </c>
      <c r="M9" s="53"/>
      <c r="N9" s="54"/>
      <c r="O9" s="54"/>
      <c r="P9" s="54"/>
    </row>
    <row r="10" spans="1:21" x14ac:dyDescent="0.25">
      <c r="A10" s="62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57" t="s">
        <v>84</v>
      </c>
      <c r="K10" t="s">
        <v>36</v>
      </c>
      <c r="L10" s="10">
        <v>2017</v>
      </c>
      <c r="M10" s="53"/>
      <c r="N10" s="6"/>
      <c r="O10" s="6"/>
      <c r="P10" s="6"/>
    </row>
    <row r="11" spans="1:21" x14ac:dyDescent="0.25">
      <c r="A11" s="62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57" t="s">
        <v>84</v>
      </c>
      <c r="K11" t="s">
        <v>37</v>
      </c>
      <c r="L11" s="10">
        <v>2017</v>
      </c>
      <c r="M11" s="53"/>
      <c r="N11" s="54"/>
      <c r="O11" s="54"/>
      <c r="P11" s="54"/>
    </row>
    <row r="12" spans="1:21" x14ac:dyDescent="0.25">
      <c r="A12" s="62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57" t="s">
        <v>84</v>
      </c>
      <c r="K12" t="s">
        <v>38</v>
      </c>
      <c r="L12" s="10">
        <v>2017</v>
      </c>
      <c r="M12" s="53"/>
      <c r="N12" s="6"/>
      <c r="O12" s="6"/>
      <c r="P12" s="6"/>
    </row>
    <row r="13" spans="1:21" x14ac:dyDescent="0.25">
      <c r="A13" s="62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57" t="s">
        <v>84</v>
      </c>
      <c r="K13" t="s">
        <v>28</v>
      </c>
      <c r="L13" s="10">
        <v>2018</v>
      </c>
      <c r="M13" s="53"/>
      <c r="N13" s="54"/>
      <c r="O13" s="54"/>
      <c r="P13" s="54"/>
    </row>
    <row r="14" spans="1:21" x14ac:dyDescent="0.25">
      <c r="A14" s="62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57" t="s">
        <v>84</v>
      </c>
      <c r="K14" t="s">
        <v>29</v>
      </c>
      <c r="L14" s="10">
        <v>2018</v>
      </c>
      <c r="M14" s="18"/>
      <c r="N14" s="6"/>
      <c r="O14" s="6"/>
      <c r="P14" s="6"/>
    </row>
    <row r="15" spans="1:21" x14ac:dyDescent="0.25">
      <c r="A15" s="62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57" t="s">
        <v>84</v>
      </c>
      <c r="K15" t="s">
        <v>46</v>
      </c>
      <c r="L15" s="10">
        <v>2018</v>
      </c>
      <c r="M15" s="18"/>
      <c r="N15" s="6"/>
      <c r="O15" s="6"/>
      <c r="P15" s="6"/>
    </row>
    <row r="16" spans="1:21" x14ac:dyDescent="0.25">
      <c r="A16" s="62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57" t="s">
        <v>84</v>
      </c>
      <c r="K16" s="5"/>
      <c r="L16" s="5"/>
      <c r="M16" s="6"/>
      <c r="N16" s="6"/>
      <c r="O16" s="6"/>
      <c r="P16" s="6"/>
    </row>
    <row r="17" spans="1:16" x14ac:dyDescent="0.25">
      <c r="A17" s="62">
        <v>42825</v>
      </c>
      <c r="B17" s="6">
        <v>2016</v>
      </c>
      <c r="C17" s="6">
        <v>17348</v>
      </c>
      <c r="D17" s="6">
        <v>35445</v>
      </c>
      <c r="E17" s="6">
        <v>14899</v>
      </c>
      <c r="F17" s="6">
        <v>724</v>
      </c>
      <c r="G17" s="57" t="s">
        <v>19</v>
      </c>
      <c r="K17" s="16" t="s">
        <v>41</v>
      </c>
      <c r="L17" s="1">
        <v>42825</v>
      </c>
      <c r="M17" s="6"/>
      <c r="N17" s="6"/>
      <c r="O17" s="6"/>
      <c r="P17" s="6"/>
    </row>
    <row r="18" spans="1:16" x14ac:dyDescent="0.25">
      <c r="A18" s="61">
        <v>43190</v>
      </c>
      <c r="B18">
        <v>2017</v>
      </c>
      <c r="C18">
        <v>17377</v>
      </c>
      <c r="D18">
        <v>35608</v>
      </c>
      <c r="E18">
        <v>14912</v>
      </c>
      <c r="F18">
        <v>877</v>
      </c>
      <c r="G18" t="s">
        <v>19</v>
      </c>
    </row>
    <row r="19" spans="1:16" x14ac:dyDescent="0.25">
      <c r="A19" s="61"/>
    </row>
    <row r="20" spans="1:16" x14ac:dyDescent="0.25">
      <c r="A20" s="61"/>
    </row>
    <row r="21" spans="1:16" x14ac:dyDescent="0.25">
      <c r="A21" s="62"/>
      <c r="B21" s="6"/>
      <c r="C21" s="6"/>
      <c r="D21" s="6"/>
      <c r="E21" s="6"/>
      <c r="F21" s="6"/>
      <c r="G21" s="15"/>
    </row>
    <row r="22" spans="1:16" x14ac:dyDescent="0.25">
      <c r="A22" s="62"/>
      <c r="B22" s="6"/>
      <c r="C22" s="6"/>
      <c r="D22" s="6"/>
      <c r="E22" s="6"/>
      <c r="F22" s="6"/>
      <c r="G22" s="11"/>
    </row>
    <row r="23" spans="1:16" x14ac:dyDescent="0.25">
      <c r="A23" s="61"/>
    </row>
    <row r="24" spans="1:16" x14ac:dyDescent="0.25">
      <c r="A24" s="61"/>
      <c r="K24" s="14"/>
      <c r="L24" s="17"/>
    </row>
    <row r="25" spans="1:16" x14ac:dyDescent="0.25">
      <c r="A25" s="61"/>
      <c r="K25" s="5"/>
      <c r="L25" s="17"/>
    </row>
    <row r="26" spans="1:16" x14ac:dyDescent="0.25">
      <c r="A26" s="61"/>
      <c r="K26" s="5"/>
      <c r="L26" s="17"/>
    </row>
    <row r="27" spans="1:16" x14ac:dyDescent="0.25">
      <c r="A27" s="61"/>
      <c r="K27" s="5"/>
      <c r="L27" s="17"/>
    </row>
    <row r="28" spans="1:16" x14ac:dyDescent="0.25">
      <c r="A28" s="61"/>
      <c r="K28" s="5"/>
      <c r="L28" s="17"/>
    </row>
    <row r="29" spans="1:16" x14ac:dyDescent="0.25">
      <c r="A29" s="61"/>
      <c r="K29" s="5"/>
      <c r="L29" s="17"/>
    </row>
    <row r="30" spans="1:16" x14ac:dyDescent="0.25">
      <c r="A30" s="62"/>
      <c r="B30" s="54"/>
      <c r="C30" s="54"/>
      <c r="D30" s="54"/>
      <c r="E30" s="54"/>
      <c r="F30" s="54"/>
      <c r="G30" s="60"/>
      <c r="K30" s="5"/>
      <c r="L30" s="17"/>
    </row>
    <row r="31" spans="1:16" x14ac:dyDescent="0.25">
      <c r="A31" s="61"/>
      <c r="K31" s="5"/>
      <c r="L31" s="17"/>
    </row>
    <row r="32" spans="1:16" x14ac:dyDescent="0.25">
      <c r="A32" s="61"/>
      <c r="K32" s="5"/>
      <c r="L32" s="17"/>
    </row>
    <row r="33" spans="1:12" x14ac:dyDescent="0.25">
      <c r="A33" s="61"/>
      <c r="K33" s="5"/>
      <c r="L33" s="17"/>
    </row>
    <row r="34" spans="1:12" x14ac:dyDescent="0.25">
      <c r="A34" s="61"/>
      <c r="K34" s="5"/>
      <c r="L34" s="12"/>
    </row>
    <row r="35" spans="1:12" x14ac:dyDescent="0.25">
      <c r="A35" s="61"/>
      <c r="K35" s="5"/>
      <c r="L35" s="12"/>
    </row>
    <row r="36" spans="1:12" x14ac:dyDescent="0.25">
      <c r="A36" s="61"/>
      <c r="K36" s="5"/>
      <c r="L36" s="12"/>
    </row>
    <row r="37" spans="1:12" x14ac:dyDescent="0.25">
      <c r="A37" s="61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92" r:id="rId4" name="YearSpinner">
          <controlPr defaultSize="0" autoLine="0" r:id="rId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4" name="YearSpinner"/>
      </mc:Fallback>
    </mc:AlternateContent>
    <mc:AlternateContent xmlns:mc="http://schemas.openxmlformats.org/markup-compatibility/2006">
      <mc:Choice Requires="x14">
        <control shapeId="16389" r:id="rId6" name="YearBtn">
          <controlPr defaultSize="0" autoLine="0" r:id="rId7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6" name="YearBtn"/>
      </mc:Fallback>
    </mc:AlternateContent>
    <mc:AlternateContent xmlns:mc="http://schemas.openxmlformats.org/markup-compatibility/2006">
      <mc:Choice Requires="x14">
        <control shapeId="16387" r:id="rId8" name="Update_Mean">
          <controlPr defaultSize="0" autoLine="0" r:id="rId9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8" name="Update_Mean"/>
      </mc:Fallback>
    </mc:AlternateContent>
    <mc:AlternateContent xmlns:mc="http://schemas.openxmlformats.org/markup-compatibility/2006">
      <mc:Choice Requires="x14">
        <control shapeId="16386" r:id="rId10" name="Run">
          <controlPr defaultSize="0" autoLine="0" r:id="rId11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10" name="Run"/>
      </mc:Fallback>
    </mc:AlternateContent>
    <mc:AlternateContent xmlns:mc="http://schemas.openxmlformats.org/markup-compatibility/2006">
      <mc:Choice Requires="x14">
        <control shapeId="16385" r:id="rId12" name="RestoreDefaults">
          <controlPr defaultSize="0" autoLine="0" r:id="rId13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12" name="RestoreDefaults"/>
      </mc:Fallback>
    </mc:AlternateContent>
    <mc:AlternateContent xmlns:mc="http://schemas.openxmlformats.org/markup-compatibility/2006">
      <mc:Choice Requires="x14">
        <control shapeId="16388" r:id="rId14" name="Export">
          <controlPr defaultSize="0" autoLine="0" r:id="rId1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14" name="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8" t="s">
        <v>9</v>
      </c>
      <c r="B1" s="68"/>
      <c r="C1" s="68"/>
      <c r="D1" s="68"/>
      <c r="E1" s="68"/>
      <c r="F1" s="68"/>
      <c r="G1" s="68"/>
      <c r="H1" s="6"/>
      <c r="I1" s="68" t="s">
        <v>22</v>
      </c>
      <c r="J1" s="68"/>
      <c r="K1" s="68"/>
      <c r="L1" s="68"/>
      <c r="M1" s="68"/>
      <c r="N1" s="68"/>
      <c r="O1" s="68"/>
      <c r="P1" s="6"/>
      <c r="Q1" s="68" t="s">
        <v>10</v>
      </c>
      <c r="R1" s="68"/>
      <c r="S1" s="68"/>
      <c r="T1" s="68"/>
      <c r="U1" s="68"/>
      <c r="V1" s="68"/>
      <c r="W1" s="68"/>
    </row>
    <row r="2" spans="1:23" x14ac:dyDescent="0.25">
      <c r="A2" s="4"/>
      <c r="B2" s="68" t="s">
        <v>24</v>
      </c>
      <c r="C2" s="68"/>
      <c r="D2" s="68" t="s">
        <v>20</v>
      </c>
      <c r="E2" s="68"/>
      <c r="F2" s="68" t="s">
        <v>6</v>
      </c>
      <c r="G2" s="68"/>
      <c r="H2" s="6"/>
      <c r="I2" s="4"/>
      <c r="J2" s="68" t="s">
        <v>24</v>
      </c>
      <c r="K2" s="68"/>
      <c r="L2" s="68" t="s">
        <v>20</v>
      </c>
      <c r="M2" s="68"/>
      <c r="N2" s="68" t="s">
        <v>6</v>
      </c>
      <c r="O2" s="68"/>
      <c r="P2" s="6"/>
      <c r="Q2" s="4"/>
      <c r="R2" s="68" t="s">
        <v>24</v>
      </c>
      <c r="S2" s="68"/>
      <c r="T2" s="68" t="s">
        <v>20</v>
      </c>
      <c r="U2" s="68"/>
      <c r="V2" s="68" t="s">
        <v>6</v>
      </c>
      <c r="W2" s="68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3.2440000000000002</v>
      </c>
      <c r="C4" s="3">
        <v>0.08</v>
      </c>
      <c r="D4" s="3">
        <v>13.241</v>
      </c>
      <c r="E4" s="3">
        <v>0.17599999999999999</v>
      </c>
      <c r="F4" s="3">
        <v>6.2043200000000001</v>
      </c>
      <c r="G4" s="3">
        <v>0.11105</v>
      </c>
      <c r="I4" s="4" t="s">
        <v>12</v>
      </c>
      <c r="J4" s="3">
        <v>3.2440000000000002</v>
      </c>
      <c r="K4" s="3">
        <v>0.08</v>
      </c>
      <c r="L4" s="3">
        <v>13.241</v>
      </c>
      <c r="M4" s="3">
        <v>0.17599999999999999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31.125548726010024</v>
      </c>
      <c r="C5" s="3">
        <v>0.77215242302254017</v>
      </c>
      <c r="D5" s="3">
        <v>254.91499999999999</v>
      </c>
      <c r="E5" s="3">
        <v>2.927</v>
      </c>
      <c r="F5" s="3">
        <v>165.66627507222779</v>
      </c>
      <c r="G5" s="3">
        <v>3.1582296087435262</v>
      </c>
      <c r="I5" s="4" t="s">
        <v>13</v>
      </c>
      <c r="J5" s="3">
        <v>31.126999999999999</v>
      </c>
      <c r="K5" s="3">
        <v>0.77200000000000002</v>
      </c>
      <c r="L5" s="3">
        <v>254.91499999999999</v>
      </c>
      <c r="M5" s="3">
        <v>2.927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1.4512739899750215E-3</v>
      </c>
      <c r="S5" s="3">
        <f t="shared" ref="S5:S8" si="2">K5-C5</f>
        <v>-1.5242302254014906E-4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24.075071543627903</v>
      </c>
      <c r="C6" s="3">
        <v>0.59382813590707384</v>
      </c>
      <c r="D6" s="3">
        <v>224.57730000000001</v>
      </c>
      <c r="E6" s="3">
        <v>2.5238999999999998</v>
      </c>
      <c r="F6" s="3">
        <v>150.02806697857855</v>
      </c>
      <c r="G6" s="3">
        <v>2.8460116063194367</v>
      </c>
      <c r="I6" s="4" t="s">
        <v>14</v>
      </c>
      <c r="J6" s="3">
        <v>24.075900000000001</v>
      </c>
      <c r="K6" s="3">
        <v>0.59350000000000003</v>
      </c>
      <c r="L6" s="3">
        <v>224.57730000000001</v>
      </c>
      <c r="M6" s="3">
        <v>2.5238999999999998</v>
      </c>
      <c r="N6" s="3">
        <v>150.02806000000001</v>
      </c>
      <c r="O6" s="3">
        <v>2.8460200000000002</v>
      </c>
      <c r="Q6" s="4" t="s">
        <v>3</v>
      </c>
      <c r="R6" s="3">
        <f t="shared" si="1"/>
        <v>8.2845637209771894E-4</v>
      </c>
      <c r="S6" s="3">
        <f t="shared" si="2"/>
        <v>-3.2813590707381213E-4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17.024594361245782</v>
      </c>
      <c r="C7" s="3">
        <v>0.41550384879160751</v>
      </c>
      <c r="D7" s="3">
        <v>194.23939999999999</v>
      </c>
      <c r="E7" s="3">
        <v>2.1204000000000001</v>
      </c>
      <c r="F7" s="3">
        <v>134.38985888492931</v>
      </c>
      <c r="G7" s="3">
        <v>2.5337936038953472</v>
      </c>
      <c r="I7" s="4" t="s">
        <v>15</v>
      </c>
      <c r="J7" s="3">
        <v>17.024999999999999</v>
      </c>
      <c r="K7" s="3">
        <v>0.4153</v>
      </c>
      <c r="L7" s="3">
        <v>194.23939999999999</v>
      </c>
      <c r="M7" s="3">
        <v>2.1204000000000001</v>
      </c>
      <c r="N7" s="3">
        <v>134.38985</v>
      </c>
      <c r="O7" s="3">
        <v>2.5337999999999998</v>
      </c>
      <c r="Q7" s="4" t="s">
        <v>2</v>
      </c>
      <c r="R7" s="3">
        <f t="shared" si="1"/>
        <v>4.056387542163975E-4</v>
      </c>
      <c r="S7" s="3">
        <f t="shared" si="2"/>
        <v>-2.0384879160750824E-4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31.125548726010024</v>
      </c>
      <c r="C8" s="3">
        <v>0.77215242302254017</v>
      </c>
      <c r="D8" s="3">
        <v>254.9153</v>
      </c>
      <c r="E8" s="3">
        <v>2.9272999999999998</v>
      </c>
      <c r="F8" s="3">
        <v>165.66627507222779</v>
      </c>
      <c r="G8" s="3">
        <v>3.1582296087435262</v>
      </c>
      <c r="I8" s="4" t="s">
        <v>16</v>
      </c>
      <c r="J8" s="3">
        <v>31.1267</v>
      </c>
      <c r="K8" s="3">
        <v>0.77170000000000005</v>
      </c>
      <c r="L8" s="3">
        <v>254.9153</v>
      </c>
      <c r="M8" s="3">
        <v>2.9272999999999998</v>
      </c>
      <c r="N8" s="3">
        <v>165.66625999999999</v>
      </c>
      <c r="O8" s="3">
        <v>3.1582400000000002</v>
      </c>
      <c r="Q8" s="4" t="s">
        <v>1</v>
      </c>
      <c r="R8" s="3">
        <f t="shared" si="1"/>
        <v>1.1512739899757207E-3</v>
      </c>
      <c r="S8" s="3">
        <f t="shared" si="2"/>
        <v>-4.5242302254011602E-4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9"/>
  <sheetViews>
    <sheetView workbookViewId="0"/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3.2851562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30.75" thickBot="1" x14ac:dyDescent="0.3">
      <c r="A2" s="20" t="s">
        <v>48</v>
      </c>
      <c r="B2" s="21"/>
      <c r="C2" s="22" t="s">
        <v>73</v>
      </c>
      <c r="D2" s="23" t="s">
        <v>74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58"/>
      <c r="L2" s="13" t="s">
        <v>53</v>
      </c>
      <c r="M2" s="1">
        <v>42825</v>
      </c>
      <c r="N2" s="58"/>
      <c r="O2" s="58"/>
      <c r="P2" s="58"/>
    </row>
    <row r="3" spans="1:16" x14ac:dyDescent="0.25">
      <c r="A3" s="28" t="s">
        <v>75</v>
      </c>
      <c r="B3" s="29"/>
      <c r="C3" s="30"/>
      <c r="D3" s="31"/>
      <c r="E3" s="32"/>
      <c r="F3" s="30"/>
      <c r="G3" s="31"/>
      <c r="H3" s="33"/>
      <c r="I3" s="70" t="s">
        <v>54</v>
      </c>
      <c r="J3" s="71"/>
      <c r="K3" s="58"/>
      <c r="L3" s="13" t="s">
        <v>55</v>
      </c>
      <c r="M3" s="58">
        <v>17351.5</v>
      </c>
      <c r="N3" s="58"/>
      <c r="O3" s="58"/>
      <c r="P3" s="58"/>
    </row>
    <row r="4" spans="1:16" x14ac:dyDescent="0.25">
      <c r="A4" s="34" t="s">
        <v>56</v>
      </c>
      <c r="B4" s="35"/>
      <c r="C4" s="36">
        <v>0</v>
      </c>
      <c r="D4" s="36"/>
      <c r="E4" s="37"/>
      <c r="F4" s="59">
        <v>4.4182923666541809</v>
      </c>
      <c r="G4" s="36"/>
      <c r="H4" s="37"/>
      <c r="I4" s="36"/>
      <c r="J4" s="38"/>
      <c r="K4" s="58"/>
      <c r="L4" s="13" t="s">
        <v>57</v>
      </c>
      <c r="M4" s="39">
        <f>1%*13565*1000</f>
        <v>135650</v>
      </c>
      <c r="N4" s="58"/>
      <c r="O4" s="58"/>
      <c r="P4" s="58"/>
    </row>
    <row r="5" spans="1:16" x14ac:dyDescent="0.25">
      <c r="A5" s="34" t="s">
        <v>58</v>
      </c>
      <c r="B5" s="35"/>
      <c r="C5" s="36">
        <v>1.5509898279687635</v>
      </c>
      <c r="D5" s="36"/>
      <c r="E5" s="37"/>
      <c r="F5" s="59">
        <v>9.0490888972134975</v>
      </c>
      <c r="G5" s="36"/>
      <c r="H5" s="37"/>
      <c r="I5" s="36"/>
      <c r="J5" s="38"/>
      <c r="K5" s="58"/>
      <c r="L5" s="58"/>
      <c r="M5" s="58"/>
      <c r="N5" s="58"/>
      <c r="O5" s="58"/>
      <c r="P5" s="58"/>
    </row>
    <row r="6" spans="1:16" x14ac:dyDescent="0.25">
      <c r="A6" s="34" t="s">
        <v>59</v>
      </c>
      <c r="B6" s="35"/>
      <c r="C6" s="36">
        <f>SUM(C4:C5)</f>
        <v>1.5509898279687635</v>
      </c>
      <c r="D6" s="55">
        <f>J6/12</f>
        <v>2.0063238143920832</v>
      </c>
      <c r="E6" s="37"/>
      <c r="F6" s="59">
        <f>SUM(F4:F5)</f>
        <v>13.467381263867679</v>
      </c>
      <c r="G6" s="36">
        <v>24.075899999999997</v>
      </c>
      <c r="H6" s="37"/>
      <c r="I6" s="40">
        <f>F6-G6+J6</f>
        <v>13.467367036572682</v>
      </c>
      <c r="J6" s="41">
        <v>24.075885772705</v>
      </c>
      <c r="K6" s="42"/>
      <c r="L6" s="13" t="s">
        <v>60</v>
      </c>
      <c r="M6" s="58">
        <v>31.126729965209901</v>
      </c>
      <c r="N6" s="58"/>
      <c r="O6" s="13" t="s">
        <v>61</v>
      </c>
      <c r="P6" s="58">
        <v>0.10343393942886747</v>
      </c>
    </row>
    <row r="7" spans="1:16" x14ac:dyDescent="0.25">
      <c r="A7" s="34" t="s">
        <v>62</v>
      </c>
      <c r="B7" s="35"/>
      <c r="C7" s="36"/>
      <c r="D7" s="43"/>
      <c r="E7" s="37"/>
      <c r="F7" s="44">
        <f>IF(I6&lt;M7, M4/2, IF(I6&gt;M6, -M4/2, (J6-I6)*M8))</f>
        <v>67825</v>
      </c>
      <c r="G7" s="36"/>
      <c r="H7" s="37"/>
      <c r="I7" s="36"/>
      <c r="J7" s="36"/>
      <c r="K7" s="58"/>
      <c r="L7" s="13" t="s">
        <v>63</v>
      </c>
      <c r="M7" s="58">
        <v>17.025041580200099</v>
      </c>
      <c r="N7" s="58"/>
      <c r="O7" s="13" t="s">
        <v>76</v>
      </c>
      <c r="P7" s="58">
        <v>0</v>
      </c>
    </row>
    <row r="8" spans="1:16" ht="18" x14ac:dyDescent="0.35">
      <c r="A8" s="45" t="s">
        <v>77</v>
      </c>
      <c r="B8" s="46"/>
      <c r="C8" s="36"/>
      <c r="D8" s="47"/>
      <c r="E8" s="37"/>
      <c r="F8" s="36"/>
      <c r="G8" s="36"/>
      <c r="H8" s="37"/>
      <c r="I8" s="36"/>
      <c r="J8" s="38"/>
      <c r="K8" s="58"/>
      <c r="L8" s="13" t="s">
        <v>64</v>
      </c>
      <c r="M8" s="48">
        <f>0.5*M4/(M6-J6)</f>
        <v>9619.415512272768</v>
      </c>
      <c r="N8" s="58"/>
      <c r="O8" s="58"/>
      <c r="P8" s="58"/>
    </row>
    <row r="9" spans="1:16" x14ac:dyDescent="0.25">
      <c r="A9" s="34" t="s">
        <v>56</v>
      </c>
      <c r="B9" s="35"/>
      <c r="C9" s="36">
        <v>0</v>
      </c>
      <c r="D9" s="41"/>
      <c r="E9" s="49"/>
      <c r="F9" s="41">
        <v>2.5761461545111376E-2</v>
      </c>
      <c r="G9" s="41"/>
      <c r="H9" s="49"/>
      <c r="I9" s="41"/>
      <c r="J9" s="50"/>
      <c r="K9" s="58"/>
      <c r="L9" s="58"/>
      <c r="M9" s="58"/>
      <c r="N9" s="58"/>
      <c r="O9" s="58"/>
      <c r="P9" s="58"/>
    </row>
    <row r="10" spans="1:16" x14ac:dyDescent="0.25">
      <c r="A10" s="34" t="s">
        <v>58</v>
      </c>
      <c r="B10" s="35"/>
      <c r="C10" s="36">
        <v>4.2474714001671326E-2</v>
      </c>
      <c r="D10" s="41"/>
      <c r="E10" s="49"/>
      <c r="F10" s="41">
        <v>0.2649338673889865</v>
      </c>
      <c r="G10" s="40"/>
      <c r="H10" s="51"/>
      <c r="I10" s="40"/>
      <c r="J10" s="52"/>
      <c r="K10" s="58"/>
      <c r="L10" s="13" t="s">
        <v>65</v>
      </c>
      <c r="M10" s="58">
        <v>0.77168273925781194</v>
      </c>
      <c r="N10" s="58"/>
      <c r="O10" s="13" t="s">
        <v>66</v>
      </c>
      <c r="P10" s="58">
        <v>0</v>
      </c>
    </row>
    <row r="11" spans="1:16" x14ac:dyDescent="0.25">
      <c r="A11" s="34" t="s">
        <v>59</v>
      </c>
      <c r="B11" s="35"/>
      <c r="C11" s="36">
        <f>SUM(C9:C10)</f>
        <v>4.2474714001671326E-2</v>
      </c>
      <c r="D11" s="55">
        <f>J11/12</f>
        <v>4.9458478887875836E-2</v>
      </c>
      <c r="E11" s="49"/>
      <c r="F11" s="40">
        <f>SUM(F9:F10)</f>
        <v>0.29069532893409789</v>
      </c>
      <c r="G11" s="36">
        <v>0.59350000000000003</v>
      </c>
      <c r="H11" s="51"/>
      <c r="I11" s="40">
        <f>F11-G11+J11</f>
        <v>0.29069707558860791</v>
      </c>
      <c r="J11" s="41">
        <v>0.59350174665451005</v>
      </c>
      <c r="K11" s="58"/>
      <c r="L11" s="13" t="s">
        <v>67</v>
      </c>
      <c r="M11" s="58">
        <v>0.41532078385353099</v>
      </c>
      <c r="N11" s="58"/>
      <c r="O11" s="13" t="s">
        <v>78</v>
      </c>
      <c r="P11" s="58">
        <v>0</v>
      </c>
    </row>
    <row r="12" spans="1:16" ht="18" x14ac:dyDescent="0.35">
      <c r="A12" s="34" t="s">
        <v>62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58"/>
      <c r="L12" s="13" t="s">
        <v>68</v>
      </c>
      <c r="M12" s="48">
        <f>0.5*M4/(M10-J11)</f>
        <v>380652.2738988442</v>
      </c>
      <c r="N12" s="58"/>
      <c r="O12" s="58"/>
      <c r="P12" s="58"/>
    </row>
    <row r="13" spans="1:16" x14ac:dyDescent="0.25">
      <c r="A13" s="45" t="s">
        <v>79</v>
      </c>
      <c r="B13" s="46"/>
      <c r="C13" s="36"/>
      <c r="D13" s="47"/>
      <c r="E13" s="37"/>
      <c r="F13" s="36"/>
      <c r="G13" s="36"/>
      <c r="H13" s="37"/>
      <c r="I13" s="36"/>
      <c r="J13" s="38"/>
      <c r="K13" s="58"/>
      <c r="L13" s="13"/>
      <c r="M13" s="48"/>
      <c r="N13" s="58"/>
      <c r="O13" s="58"/>
      <c r="P13" s="58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20</v>
      </c>
      <c r="G14" s="41"/>
      <c r="H14" s="49"/>
      <c r="I14" s="41"/>
      <c r="J14" s="50"/>
      <c r="K14" s="58"/>
      <c r="L14" s="13"/>
      <c r="M14" s="48"/>
      <c r="N14" s="58"/>
      <c r="O14" s="58"/>
      <c r="P14" s="58"/>
    </row>
    <row r="15" spans="1:16" x14ac:dyDescent="0.25">
      <c r="A15" s="34" t="s">
        <v>81</v>
      </c>
      <c r="B15" s="35"/>
      <c r="C15" s="56">
        <v>1</v>
      </c>
      <c r="D15" s="41"/>
      <c r="E15" s="49"/>
      <c r="F15" s="56">
        <v>11</v>
      </c>
      <c r="G15" s="41"/>
      <c r="H15" s="49"/>
      <c r="I15" s="41"/>
      <c r="J15" s="50"/>
      <c r="K15" s="58"/>
      <c r="L15" s="13"/>
      <c r="M15" s="48"/>
      <c r="N15" s="58"/>
      <c r="O15" s="58"/>
      <c r="P15" s="58"/>
    </row>
    <row r="16" spans="1:16" x14ac:dyDescent="0.25">
      <c r="A16" s="34" t="s">
        <v>82</v>
      </c>
      <c r="B16" s="35"/>
      <c r="C16" s="56">
        <v>0</v>
      </c>
      <c r="D16" s="41"/>
      <c r="E16" s="49"/>
      <c r="F16" s="56">
        <v>1</v>
      </c>
      <c r="G16" s="41"/>
      <c r="H16" s="49"/>
      <c r="I16" s="41"/>
      <c r="J16" s="50"/>
      <c r="K16" s="58"/>
      <c r="L16" s="13"/>
      <c r="M16" s="48"/>
      <c r="N16" s="58"/>
      <c r="O16" s="58"/>
      <c r="P16" s="58"/>
    </row>
    <row r="17" spans="1:16" x14ac:dyDescent="0.25">
      <c r="A17" s="34" t="s">
        <v>83</v>
      </c>
      <c r="B17" s="35"/>
      <c r="C17" s="56">
        <v>0</v>
      </c>
      <c r="D17" s="41"/>
      <c r="E17" s="49"/>
      <c r="F17" s="56">
        <v>0</v>
      </c>
      <c r="G17" s="41"/>
      <c r="H17" s="49"/>
      <c r="I17" s="41"/>
      <c r="J17" s="50"/>
      <c r="K17" s="58"/>
      <c r="L17" s="13"/>
      <c r="M17" s="48"/>
      <c r="N17" s="58"/>
      <c r="O17" s="58"/>
      <c r="P17" s="58"/>
    </row>
    <row r="18" spans="1:16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</row>
    <row r="19" spans="1:16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</row>
    <row r="20" spans="1:16" ht="15.75" thickBot="1" x14ac:dyDescent="0.3">
      <c r="A20" s="13" t="s">
        <v>69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</row>
    <row r="21" spans="1:16" ht="30.75" thickBot="1" x14ac:dyDescent="0.3">
      <c r="A21" s="20" t="s">
        <v>48</v>
      </c>
      <c r="B21" s="21"/>
      <c r="C21" s="22" t="s">
        <v>73</v>
      </c>
      <c r="D21" s="23" t="s">
        <v>74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58"/>
      <c r="L21" s="13" t="s">
        <v>53</v>
      </c>
      <c r="M21" s="1">
        <v>42825</v>
      </c>
      <c r="N21" s="58"/>
      <c r="O21" s="58"/>
      <c r="P21" s="58"/>
    </row>
    <row r="22" spans="1:16" x14ac:dyDescent="0.25">
      <c r="A22" s="28" t="s">
        <v>75</v>
      </c>
      <c r="B22" s="29"/>
      <c r="C22" s="30"/>
      <c r="D22" s="31"/>
      <c r="E22" s="32"/>
      <c r="F22" s="30"/>
      <c r="G22" s="31"/>
      <c r="H22" s="33"/>
      <c r="I22" s="70" t="s">
        <v>54</v>
      </c>
      <c r="J22" s="71"/>
      <c r="K22" s="58"/>
      <c r="L22" s="13" t="s">
        <v>55</v>
      </c>
      <c r="M22" s="58">
        <v>35426.5</v>
      </c>
      <c r="N22" s="58"/>
      <c r="O22" s="58"/>
      <c r="P22" s="58"/>
    </row>
    <row r="23" spans="1:16" x14ac:dyDescent="0.25">
      <c r="A23" s="34" t="s">
        <v>56</v>
      </c>
      <c r="B23" s="35"/>
      <c r="C23" s="36">
        <v>3.8822632774900141</v>
      </c>
      <c r="D23" s="36"/>
      <c r="E23" s="37"/>
      <c r="F23" s="41">
        <v>46.569545396807491</v>
      </c>
      <c r="G23" s="36"/>
      <c r="H23" s="37"/>
      <c r="I23" s="36"/>
      <c r="J23" s="38"/>
      <c r="K23" s="58"/>
      <c r="L23" s="13" t="s">
        <v>57</v>
      </c>
      <c r="M23" s="39">
        <v>438977</v>
      </c>
      <c r="N23" s="58"/>
      <c r="O23" s="58"/>
      <c r="P23" s="58"/>
    </row>
    <row r="24" spans="1:16" x14ac:dyDescent="0.25">
      <c r="A24" s="34" t="s">
        <v>58</v>
      </c>
      <c r="B24" s="35"/>
      <c r="C24" s="36">
        <v>8.5309020083835545</v>
      </c>
      <c r="D24" s="36"/>
      <c r="E24" s="37"/>
      <c r="F24" s="41">
        <v>91.713265493345432</v>
      </c>
      <c r="G24" s="36"/>
      <c r="H24" s="37"/>
      <c r="I24" s="36"/>
      <c r="J24" s="38"/>
      <c r="K24" s="58"/>
      <c r="L24" s="58"/>
      <c r="M24" s="58"/>
      <c r="N24" s="58"/>
      <c r="O24" s="58"/>
      <c r="P24" s="58"/>
    </row>
    <row r="25" spans="1:16" x14ac:dyDescent="0.25">
      <c r="A25" s="34" t="s">
        <v>59</v>
      </c>
      <c r="B25" s="35"/>
      <c r="C25" s="36">
        <f>SUM(C23:C24)</f>
        <v>12.413165285873568</v>
      </c>
      <c r="D25" s="55">
        <f>J25/12</f>
        <v>12.502338333333334</v>
      </c>
      <c r="E25" s="37"/>
      <c r="F25" s="41">
        <f>SUM(F23:F24)</f>
        <v>138.28281089015292</v>
      </c>
      <c r="G25" s="36">
        <v>150.02806000000001</v>
      </c>
      <c r="H25" s="37"/>
      <c r="I25" s="36">
        <f>F25-G25+J25</f>
        <v>138.28281089015292</v>
      </c>
      <c r="J25" s="41">
        <v>150.02806000000001</v>
      </c>
      <c r="K25" s="58"/>
      <c r="L25" s="13" t="s">
        <v>70</v>
      </c>
      <c r="M25" s="58">
        <v>165.66626439250879</v>
      </c>
      <c r="N25" s="58"/>
      <c r="O25" s="13" t="s">
        <v>61</v>
      </c>
      <c r="P25" s="58">
        <v>0</v>
      </c>
    </row>
    <row r="26" spans="1:16" x14ac:dyDescent="0.25">
      <c r="A26" s="34" t="s">
        <v>62</v>
      </c>
      <c r="B26" s="35"/>
      <c r="C26" s="36"/>
      <c r="D26" s="43"/>
      <c r="E26" s="37"/>
      <c r="F26" s="44">
        <f>IF(I25&lt;M26, M23/2, IF(I25&gt;M25, -M23/2, (J25-I25)*M27))</f>
        <v>164849.30395727503</v>
      </c>
      <c r="G26" s="36"/>
      <c r="H26" s="37"/>
      <c r="I26" s="36"/>
      <c r="J26" s="36"/>
      <c r="K26" s="58"/>
      <c r="L26" s="13" t="s">
        <v>71</v>
      </c>
      <c r="M26" s="58">
        <v>134.38985400061679</v>
      </c>
      <c r="N26" s="58"/>
      <c r="O26" s="13" t="s">
        <v>76</v>
      </c>
      <c r="P26" s="58">
        <v>0</v>
      </c>
    </row>
    <row r="27" spans="1:16" ht="18" x14ac:dyDescent="0.35">
      <c r="A27" s="45" t="s">
        <v>77</v>
      </c>
      <c r="B27" s="46"/>
      <c r="C27" s="36"/>
      <c r="D27" s="47"/>
      <c r="E27" s="37"/>
      <c r="F27" s="36"/>
      <c r="G27" s="36"/>
      <c r="H27" s="37"/>
      <c r="I27" s="36"/>
      <c r="J27" s="38"/>
      <c r="K27" s="58"/>
      <c r="L27" s="13" t="s">
        <v>64</v>
      </c>
      <c r="M27" s="48">
        <f>0.5*M23/(M25-J25)</f>
        <v>14035.402945950895</v>
      </c>
      <c r="N27" s="58"/>
      <c r="O27" s="58"/>
      <c r="P27" s="58"/>
    </row>
    <row r="28" spans="1:16" x14ac:dyDescent="0.25">
      <c r="A28" s="34" t="s">
        <v>56</v>
      </c>
      <c r="B28" s="35"/>
      <c r="C28" s="36">
        <v>1.8672462704472641E-2</v>
      </c>
      <c r="D28" s="41"/>
      <c r="E28" s="49"/>
      <c r="F28" s="41">
        <v>0.18199652802280766</v>
      </c>
      <c r="G28" s="41"/>
      <c r="H28" s="49"/>
      <c r="I28" s="41"/>
      <c r="J28" s="50"/>
      <c r="K28" s="58"/>
      <c r="L28" s="58"/>
      <c r="M28" s="58"/>
      <c r="N28" s="58"/>
      <c r="O28" s="58"/>
      <c r="P28" s="58"/>
    </row>
    <row r="29" spans="1:16" x14ac:dyDescent="0.25">
      <c r="A29" s="34" t="s">
        <v>58</v>
      </c>
      <c r="B29" s="35"/>
      <c r="C29" s="36">
        <v>0.23552989993366544</v>
      </c>
      <c r="D29" s="41"/>
      <c r="E29" s="49"/>
      <c r="F29" s="41">
        <v>1.9784342229686809</v>
      </c>
      <c r="G29" s="41"/>
      <c r="H29" s="49"/>
      <c r="I29" s="41"/>
      <c r="J29" s="50"/>
      <c r="K29" s="58"/>
      <c r="L29" s="13" t="s">
        <v>70</v>
      </c>
      <c r="M29" s="58">
        <v>3.1582358015733725</v>
      </c>
      <c r="N29" s="58"/>
      <c r="O29" s="13" t="s">
        <v>66</v>
      </c>
      <c r="P29" s="58">
        <v>0</v>
      </c>
    </row>
    <row r="30" spans="1:16" x14ac:dyDescent="0.25">
      <c r="A30" s="34" t="s">
        <v>59</v>
      </c>
      <c r="B30" s="35"/>
      <c r="C30" s="36">
        <f>SUM(C28:C29)</f>
        <v>0.25420236263813806</v>
      </c>
      <c r="D30" s="41">
        <f>J30/12</f>
        <v>0.23716833333333334</v>
      </c>
      <c r="E30" s="49"/>
      <c r="F30" s="41">
        <f>SUM(F28:F29)</f>
        <v>2.1604307509914884</v>
      </c>
      <c r="G30" s="36">
        <v>2.8460200000000002</v>
      </c>
      <c r="H30" s="49"/>
      <c r="I30" s="41">
        <f>F30-G30+J30</f>
        <v>2.1604307509914884</v>
      </c>
      <c r="J30" s="41">
        <v>2.8460200000000002</v>
      </c>
      <c r="K30" s="58"/>
      <c r="L30" s="13" t="s">
        <v>71</v>
      </c>
      <c r="M30" s="58">
        <v>2.5337967140967539</v>
      </c>
      <c r="N30" s="58"/>
      <c r="O30" s="13" t="s">
        <v>78</v>
      </c>
      <c r="P30" s="58">
        <v>0</v>
      </c>
    </row>
    <row r="31" spans="1:16" ht="18" x14ac:dyDescent="0.35">
      <c r="A31" s="34" t="s">
        <v>62</v>
      </c>
      <c r="B31" s="35"/>
      <c r="C31" s="36"/>
      <c r="D31" s="36"/>
      <c r="E31" s="37"/>
      <c r="F31" s="44">
        <f>IF(I30&lt;M30, M23/2, IF(I30&gt;M29, -M23/2, (J30-I30)*M31))</f>
        <v>219488.5</v>
      </c>
      <c r="G31" s="36"/>
      <c r="H31" s="37"/>
      <c r="I31" s="36"/>
      <c r="J31" s="38"/>
      <c r="K31" s="58"/>
      <c r="L31" s="13" t="s">
        <v>68</v>
      </c>
      <c r="M31" s="48">
        <f>0.5*M23/(M29-J30)</f>
        <v>703002.53508603771</v>
      </c>
      <c r="N31" s="58"/>
      <c r="O31" s="58"/>
      <c r="P31" s="58"/>
    </row>
    <row r="32" spans="1:16" x14ac:dyDescent="0.25">
      <c r="A32" s="45" t="s">
        <v>79</v>
      </c>
      <c r="B32" s="46"/>
      <c r="C32" s="36"/>
      <c r="D32" s="47"/>
      <c r="E32" s="37"/>
      <c r="F32" s="36"/>
      <c r="G32" s="36"/>
      <c r="H32" s="37"/>
      <c r="I32" s="36"/>
      <c r="J32" s="38"/>
      <c r="K32" s="58"/>
      <c r="L32" s="13"/>
      <c r="M32" s="48"/>
      <c r="N32" s="58"/>
      <c r="O32" s="58"/>
      <c r="P32" s="58"/>
    </row>
    <row r="33" spans="1:16" x14ac:dyDescent="0.25">
      <c r="A33" s="34" t="s">
        <v>80</v>
      </c>
      <c r="B33" s="35"/>
      <c r="C33" s="56">
        <v>57</v>
      </c>
      <c r="D33" s="41"/>
      <c r="E33" s="49"/>
      <c r="F33" s="56">
        <v>626</v>
      </c>
      <c r="G33" s="41"/>
      <c r="H33" s="49"/>
      <c r="I33" s="41"/>
      <c r="J33" s="50"/>
      <c r="K33" s="58"/>
      <c r="L33" s="13"/>
      <c r="M33" s="48"/>
      <c r="N33" s="58"/>
      <c r="O33" s="58"/>
      <c r="P33" s="58"/>
    </row>
    <row r="34" spans="1:16" x14ac:dyDescent="0.25">
      <c r="A34" s="34" t="s">
        <v>81</v>
      </c>
      <c r="B34" s="35"/>
      <c r="C34" s="56">
        <v>29</v>
      </c>
      <c r="D34" s="41"/>
      <c r="E34" s="49"/>
      <c r="F34" s="56">
        <v>490</v>
      </c>
      <c r="G34" s="41"/>
      <c r="H34" s="49"/>
      <c r="I34" s="41"/>
      <c r="J34" s="50"/>
      <c r="K34" s="58"/>
      <c r="L34" s="13"/>
      <c r="M34" s="48"/>
      <c r="N34" s="58"/>
      <c r="O34" s="58"/>
      <c r="P34" s="58"/>
    </row>
    <row r="35" spans="1:16" x14ac:dyDescent="0.25">
      <c r="A35" s="34" t="s">
        <v>82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58"/>
      <c r="L35" s="13"/>
      <c r="M35" s="48"/>
      <c r="N35" s="58"/>
      <c r="O35" s="58"/>
      <c r="P35" s="58"/>
    </row>
    <row r="36" spans="1:16" x14ac:dyDescent="0.25">
      <c r="A36" s="34" t="s">
        <v>83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58"/>
      <c r="L36" s="13"/>
      <c r="M36" s="48"/>
      <c r="N36" s="58"/>
      <c r="O36" s="58"/>
      <c r="P36" s="58"/>
    </row>
    <row r="37" spans="1:16" x14ac:dyDescent="0.2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x14ac:dyDescent="0.25">
      <c r="A38" s="58"/>
      <c r="B38" s="58"/>
      <c r="C38" s="58"/>
      <c r="D38" s="58"/>
      <c r="E38" s="58"/>
      <c r="F38" s="58"/>
      <c r="G38" s="42"/>
      <c r="H38" s="58"/>
      <c r="I38" s="58"/>
      <c r="J38" s="42"/>
      <c r="K38" s="58"/>
      <c r="L38" s="58"/>
      <c r="M38" s="58"/>
      <c r="N38" s="58"/>
      <c r="O38" s="58"/>
      <c r="P38" s="58"/>
    </row>
    <row r="39" spans="1:16" ht="15.75" thickBot="1" x14ac:dyDescent="0.3">
      <c r="A39" s="13" t="s">
        <v>72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</row>
    <row r="40" spans="1:16" ht="30.75" thickBot="1" x14ac:dyDescent="0.3">
      <c r="A40" s="20" t="s">
        <v>48</v>
      </c>
      <c r="B40" s="21"/>
      <c r="C40" s="22" t="s">
        <v>73</v>
      </c>
      <c r="D40" s="23" t="s">
        <v>74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58"/>
      <c r="L40" s="13" t="s">
        <v>53</v>
      </c>
      <c r="M40" s="1">
        <v>42825</v>
      </c>
      <c r="N40" s="58"/>
      <c r="O40" s="58"/>
      <c r="P40" s="58"/>
    </row>
    <row r="41" spans="1:16" x14ac:dyDescent="0.25">
      <c r="A41" s="28" t="s">
        <v>75</v>
      </c>
      <c r="B41" s="29"/>
      <c r="C41" s="30"/>
      <c r="D41" s="31"/>
      <c r="E41" s="32"/>
      <c r="F41" s="30"/>
      <c r="G41" s="31"/>
      <c r="H41" s="33"/>
      <c r="I41" s="70" t="s">
        <v>54</v>
      </c>
      <c r="J41" s="71"/>
      <c r="K41" s="58"/>
      <c r="L41" s="13" t="s">
        <v>55</v>
      </c>
      <c r="M41" s="58">
        <v>15536.5</v>
      </c>
      <c r="N41" s="58"/>
      <c r="O41" s="58"/>
      <c r="P41" s="58"/>
    </row>
    <row r="42" spans="1:16" x14ac:dyDescent="0.25">
      <c r="A42" s="34" t="s">
        <v>56</v>
      </c>
      <c r="B42" s="35"/>
      <c r="C42" s="36">
        <v>2.6647893669745435</v>
      </c>
      <c r="D42" s="36"/>
      <c r="E42" s="37"/>
      <c r="F42" s="41">
        <v>60.985485791523203</v>
      </c>
      <c r="G42" s="36"/>
      <c r="H42" s="37"/>
      <c r="I42" s="36"/>
      <c r="J42" s="38"/>
      <c r="K42" s="58"/>
      <c r="L42" s="13" t="s">
        <v>57</v>
      </c>
      <c r="M42" s="39">
        <f>1%*24780*1000</f>
        <v>247800</v>
      </c>
      <c r="N42" s="58"/>
      <c r="O42" s="58"/>
      <c r="P42" s="58"/>
    </row>
    <row r="43" spans="1:16" x14ac:dyDescent="0.25">
      <c r="A43" s="34" t="s">
        <v>58</v>
      </c>
      <c r="B43" s="35"/>
      <c r="C43" s="36">
        <v>32.937443632735821</v>
      </c>
      <c r="D43" s="36"/>
      <c r="E43" s="37"/>
      <c r="F43" s="41">
        <v>167.76623988671832</v>
      </c>
      <c r="G43" s="36"/>
      <c r="H43" s="37"/>
      <c r="I43" s="36"/>
      <c r="J43" s="38"/>
      <c r="K43" s="58"/>
      <c r="L43" s="58"/>
      <c r="M43" s="58"/>
      <c r="N43" s="58"/>
      <c r="O43" s="58"/>
      <c r="P43" s="58"/>
    </row>
    <row r="44" spans="1:16" x14ac:dyDescent="0.25">
      <c r="A44" s="34" t="s">
        <v>59</v>
      </c>
      <c r="B44" s="35"/>
      <c r="C44" s="36">
        <f>SUM(C42:C43)</f>
        <v>35.602232999710367</v>
      </c>
      <c r="D44" s="55">
        <f>J44/12</f>
        <v>18.714778900146417</v>
      </c>
      <c r="E44" s="37"/>
      <c r="F44" s="41">
        <f>SUM(F42:F43)</f>
        <v>228.75172567824154</v>
      </c>
      <c r="G44" s="36">
        <v>224.57730000000001</v>
      </c>
      <c r="H44" s="37"/>
      <c r="I44" s="36">
        <f>F44-G44+J44</f>
        <v>228.75177247999852</v>
      </c>
      <c r="J44" s="41">
        <v>224.57734680175699</v>
      </c>
      <c r="K44" s="58"/>
      <c r="L44" s="13" t="s">
        <v>70</v>
      </c>
      <c r="M44" s="58">
        <v>254.91531372070301</v>
      </c>
      <c r="N44" s="58"/>
      <c r="O44" s="13" t="s">
        <v>61</v>
      </c>
      <c r="P44" s="58">
        <v>35.575375020113924</v>
      </c>
    </row>
    <row r="45" spans="1:16" x14ac:dyDescent="0.25">
      <c r="A45" s="34" t="s">
        <v>62</v>
      </c>
      <c r="B45" s="35"/>
      <c r="C45" s="36"/>
      <c r="D45" s="43"/>
      <c r="E45" s="37"/>
      <c r="F45" s="44">
        <f>IF(I44&lt;M45, M42/2, IF(I44&gt;M44, -M42/2, (J44-I44)*M46))</f>
        <v>-17048.319121579902</v>
      </c>
      <c r="G45" s="36"/>
      <c r="H45" s="37"/>
      <c r="I45" s="36"/>
      <c r="J45" s="36"/>
      <c r="K45" s="58"/>
      <c r="L45" s="13" t="s">
        <v>71</v>
      </c>
      <c r="M45" s="58">
        <v>194.23937988281199</v>
      </c>
      <c r="N45" s="58"/>
      <c r="O45" s="13" t="s">
        <v>76</v>
      </c>
      <c r="P45" s="58">
        <v>6.7844370997328891</v>
      </c>
    </row>
    <row r="46" spans="1:16" ht="18" x14ac:dyDescent="0.35">
      <c r="A46" s="45" t="s">
        <v>77</v>
      </c>
      <c r="B46" s="46"/>
      <c r="C46" s="36"/>
      <c r="D46" s="47"/>
      <c r="E46" s="37"/>
      <c r="F46" s="36"/>
      <c r="G46" s="36"/>
      <c r="H46" s="37"/>
      <c r="I46" s="36"/>
      <c r="J46" s="38"/>
      <c r="K46" s="58"/>
      <c r="L46" s="13" t="s">
        <v>64</v>
      </c>
      <c r="M46" s="39">
        <f>0.5*M42/(M44-J44)</f>
        <v>4083.9915321624471</v>
      </c>
      <c r="N46" s="58"/>
      <c r="O46" s="58"/>
      <c r="P46" s="58"/>
    </row>
    <row r="47" spans="1:16" x14ac:dyDescent="0.25">
      <c r="A47" s="34" t="s">
        <v>56</v>
      </c>
      <c r="B47" s="35"/>
      <c r="C47" s="36">
        <v>1.551185917034081E-2</v>
      </c>
      <c r="D47" s="41"/>
      <c r="E47" s="49"/>
      <c r="F47" s="41">
        <v>0.35867151546358572</v>
      </c>
      <c r="G47" s="41"/>
      <c r="H47" s="49"/>
      <c r="I47" s="41"/>
      <c r="J47" s="50"/>
      <c r="K47" s="58"/>
      <c r="L47" s="58"/>
      <c r="M47" s="58"/>
      <c r="N47" s="58"/>
      <c r="O47" s="58"/>
      <c r="P47" s="58"/>
    </row>
    <row r="48" spans="1:16" x14ac:dyDescent="0.25">
      <c r="A48" s="34" t="s">
        <v>58</v>
      </c>
      <c r="B48" s="35"/>
      <c r="C48" s="36">
        <v>0.23312843948122164</v>
      </c>
      <c r="D48" s="41"/>
      <c r="E48" s="49"/>
      <c r="F48" s="41">
        <v>2.0688232227335632</v>
      </c>
      <c r="G48" s="41"/>
      <c r="H48" s="49"/>
      <c r="I48" s="41"/>
      <c r="J48" s="50"/>
      <c r="K48" s="58"/>
      <c r="L48" s="13" t="s">
        <v>70</v>
      </c>
      <c r="M48" s="58">
        <v>2.9273090362548801</v>
      </c>
      <c r="N48" s="58"/>
      <c r="O48" s="13" t="s">
        <v>66</v>
      </c>
      <c r="P48" s="58">
        <v>9.1315804717922361E-2</v>
      </c>
    </row>
    <row r="49" spans="1:16" x14ac:dyDescent="0.25">
      <c r="A49" s="34" t="s">
        <v>59</v>
      </c>
      <c r="B49" s="35"/>
      <c r="C49" s="36">
        <f>SUM(C47:C48)</f>
        <v>0.24864029865156245</v>
      </c>
      <c r="D49" s="41">
        <f>J49/12</f>
        <v>0.21032152573267582</v>
      </c>
      <c r="E49" s="49"/>
      <c r="F49" s="41">
        <f>SUM(F47:F48)</f>
        <v>2.427494738197149</v>
      </c>
      <c r="G49" s="36">
        <v>2.5238999999999998</v>
      </c>
      <c r="H49" s="49"/>
      <c r="I49" s="41">
        <f>F49-G49+J49</f>
        <v>2.427453046989259</v>
      </c>
      <c r="J49" s="50">
        <v>2.5238583087921098</v>
      </c>
      <c r="K49" s="58"/>
      <c r="L49" s="13" t="s">
        <v>71</v>
      </c>
      <c r="M49" s="58">
        <v>2.1204075813293399</v>
      </c>
      <c r="N49" s="58"/>
      <c r="O49" s="13" t="s">
        <v>78</v>
      </c>
      <c r="P49" s="58">
        <v>0</v>
      </c>
    </row>
    <row r="50" spans="1:16" ht="18" x14ac:dyDescent="0.35">
      <c r="A50" s="34" t="s">
        <v>62</v>
      </c>
      <c r="B50" s="35"/>
      <c r="C50" s="36"/>
      <c r="D50" s="36"/>
      <c r="E50" s="37"/>
      <c r="F50" s="44">
        <f>IF(I49&lt;M49, M42/2, IF(I49&gt;M48, -M42/2, (J49-I49)*M50))</f>
        <v>29606.123187559358</v>
      </c>
      <c r="G50" s="36"/>
      <c r="H50" s="37"/>
      <c r="I50" s="36"/>
      <c r="J50" s="38"/>
      <c r="K50" s="58"/>
      <c r="L50" s="13" t="s">
        <v>68</v>
      </c>
      <c r="M50" s="39">
        <f>0.5*M42/(M48-J49)</f>
        <v>307100.69796920434</v>
      </c>
      <c r="N50" s="58"/>
      <c r="O50" s="58"/>
      <c r="P50" s="58"/>
    </row>
    <row r="51" spans="1:16" x14ac:dyDescent="0.25">
      <c r="A51" s="45" t="s">
        <v>79</v>
      </c>
      <c r="B51" s="46"/>
      <c r="C51" s="36"/>
      <c r="D51" s="47"/>
      <c r="E51" s="37"/>
      <c r="F51" s="36"/>
      <c r="G51" s="36"/>
      <c r="H51" s="37"/>
      <c r="I51" s="36"/>
      <c r="J51" s="38"/>
      <c r="K51" s="58"/>
      <c r="L51" s="58"/>
      <c r="M51" s="58"/>
      <c r="N51" s="58"/>
      <c r="O51" s="58"/>
      <c r="P51" s="58"/>
    </row>
    <row r="52" spans="1:16" x14ac:dyDescent="0.25">
      <c r="A52" s="34" t="s">
        <v>80</v>
      </c>
      <c r="B52" s="35"/>
      <c r="C52" s="56">
        <v>32</v>
      </c>
      <c r="D52" s="41"/>
      <c r="E52" s="49"/>
      <c r="F52" s="56">
        <v>321</v>
      </c>
      <c r="G52" s="41"/>
      <c r="H52" s="49"/>
      <c r="I52" s="41"/>
      <c r="J52" s="50"/>
      <c r="K52" s="58"/>
      <c r="L52" s="58"/>
      <c r="M52" s="58"/>
      <c r="N52" s="58"/>
      <c r="O52" s="58"/>
      <c r="P52" s="58"/>
    </row>
    <row r="53" spans="1:16" x14ac:dyDescent="0.25">
      <c r="A53" s="34" t="s">
        <v>81</v>
      </c>
      <c r="B53" s="35"/>
      <c r="C53" s="56">
        <v>15</v>
      </c>
      <c r="D53" s="41"/>
      <c r="E53" s="49"/>
      <c r="F53" s="56">
        <v>182</v>
      </c>
      <c r="G53" s="41"/>
      <c r="H53" s="49"/>
      <c r="I53" s="41"/>
      <c r="J53" s="50"/>
      <c r="K53" s="58"/>
      <c r="L53" s="58"/>
      <c r="M53" s="58"/>
      <c r="N53" s="58"/>
      <c r="O53" s="58"/>
      <c r="P53" s="58"/>
    </row>
    <row r="54" spans="1:16" x14ac:dyDescent="0.25">
      <c r="A54" s="34" t="s">
        <v>82</v>
      </c>
      <c r="B54" s="35"/>
      <c r="C54" s="56">
        <v>2</v>
      </c>
      <c r="D54" s="41"/>
      <c r="E54" s="49"/>
      <c r="F54" s="56">
        <v>4</v>
      </c>
      <c r="G54" s="41"/>
      <c r="H54" s="49"/>
      <c r="I54" s="41"/>
      <c r="J54" s="50"/>
      <c r="K54" s="58"/>
      <c r="L54" s="58"/>
      <c r="M54" s="58"/>
      <c r="N54" s="58"/>
      <c r="O54" s="58"/>
      <c r="P54" s="58"/>
    </row>
    <row r="55" spans="1:16" x14ac:dyDescent="0.25">
      <c r="A55" s="34" t="s">
        <v>83</v>
      </c>
      <c r="B55" s="35"/>
      <c r="C55" s="56">
        <v>0</v>
      </c>
      <c r="D55" s="41"/>
      <c r="E55" s="49"/>
      <c r="F55" s="56">
        <v>3</v>
      </c>
      <c r="G55" s="41"/>
      <c r="H55" s="49"/>
      <c r="I55" s="41"/>
      <c r="J55" s="50"/>
      <c r="K55" s="58"/>
      <c r="L55" s="58"/>
      <c r="M55" s="58"/>
      <c r="N55" s="58"/>
      <c r="O55" s="58"/>
      <c r="P55" s="58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2017-06-07T03:33:33Z</dcterms:modified>
</cp:coreProperties>
</file>