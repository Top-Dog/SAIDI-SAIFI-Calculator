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/>
  </bookViews>
  <sheets>
    <sheet name="Input" sheetId="1" r:id="rId1"/>
    <sheet name="Statistics" sheetId="3" r:id="rId2"/>
    <sheet name="Calculation 2016" sheetId="227" r:id="rId3"/>
    <sheet name="Current Month SAIDI and SAIFI" sheetId="228" r:id="rId4"/>
    <sheet name="Calculation User Defined" sheetId="229" r:id="rId5"/>
  </sheets>
  <calcPr calcId="145621"/>
</workbook>
</file>

<file path=xl/calcChain.xml><?xml version="1.0" encoding="utf-8"?>
<calcChain xmlns="http://schemas.openxmlformats.org/spreadsheetml/2006/main">
  <c r="F49" i="228" l="1"/>
  <c r="I49" i="228" s="1"/>
  <c r="F50" i="228" s="1"/>
  <c r="D49" i="228"/>
  <c r="C49" i="228"/>
  <c r="F44" i="228"/>
  <c r="I44" i="228" s="1"/>
  <c r="F45" i="228" s="1"/>
  <c r="D44" i="228"/>
  <c r="C44" i="228"/>
  <c r="M42" i="228"/>
  <c r="M46" i="228" s="1"/>
  <c r="M31" i="228"/>
  <c r="F30" i="228"/>
  <c r="I30" i="228" s="1"/>
  <c r="F31" i="228" s="1"/>
  <c r="D30" i="228"/>
  <c r="C30" i="228"/>
  <c r="M27" i="228"/>
  <c r="F25" i="228"/>
  <c r="I25" i="228" s="1"/>
  <c r="F26" i="228" s="1"/>
  <c r="D25" i="228"/>
  <c r="C25" i="228"/>
  <c r="F11" i="228"/>
  <c r="I11" i="228" s="1"/>
  <c r="F12" i="228" s="1"/>
  <c r="D11" i="228"/>
  <c r="C11" i="228"/>
  <c r="F6" i="228"/>
  <c r="I6" i="228" s="1"/>
  <c r="F7" i="228" s="1"/>
  <c r="D6" i="228"/>
  <c r="C6" i="228"/>
  <c r="M4" i="228"/>
  <c r="M12" i="228" s="1"/>
  <c r="M50" i="228" l="1"/>
  <c r="M8" i="22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<sst xmlns="http://schemas.openxmlformats.org/spreadsheetml/2006/main" count="293" uniqueCount="85">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</sst>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  <numFmt numFmtId="170" formatCode="_(* #,##0.00000_);_(* \(#,##0.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170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6944"/>
        <c:axId val="62388480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6944"/>
        <c:axId val="62388480"/>
      </c:lineChart>
      <c:dateAx>
        <c:axId val="6238694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388480"/>
        <c:crosses val="autoZero"/>
        <c:auto val="1"/>
        <c:lblOffset val="100"/>
        <c:baseTimeUnit val="days"/>
      </c:dateAx>
      <c:valAx>
        <c:axId val="62388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3869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22016"/>
        <c:axId val="62423808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22016"/>
        <c:axId val="62423808"/>
      </c:lineChart>
      <c:dateAx>
        <c:axId val="624220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423808"/>
        <c:crosses val="autoZero"/>
        <c:auto val="1"/>
        <c:lblOffset val="100"/>
        <c:baseTimeUnit val="days"/>
      </c:dateAx>
      <c:valAx>
        <c:axId val="62423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422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5056"/>
        <c:axId val="62446592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45056"/>
        <c:axId val="62446592"/>
      </c:lineChart>
      <c:dateAx>
        <c:axId val="6244505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446592"/>
        <c:crosses val="autoZero"/>
        <c:auto val="1"/>
        <c:lblOffset val="100"/>
        <c:baseTimeUnit val="days"/>
      </c:dateAx>
      <c:valAx>
        <c:axId val="62446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445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82304"/>
        <c:axId val="62483840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82304"/>
        <c:axId val="62483840"/>
      </c:lineChart>
      <c:dateAx>
        <c:axId val="624823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483840"/>
        <c:crosses val="autoZero"/>
        <c:auto val="1"/>
        <c:lblOffset val="100"/>
        <c:baseTimeUnit val="days"/>
      </c:dateAx>
      <c:valAx>
        <c:axId val="6248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482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71296"/>
        <c:axId val="63272832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71296"/>
        <c:axId val="63272832"/>
      </c:lineChart>
      <c:dateAx>
        <c:axId val="632712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3272832"/>
        <c:crosses val="autoZero"/>
        <c:auto val="1"/>
        <c:lblOffset val="100"/>
        <c:baseTimeUnit val="days"/>
      </c:dateAx>
      <c:valAx>
        <c:axId val="63272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712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45888"/>
        <c:axId val="63847424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45888"/>
        <c:axId val="63847424"/>
      </c:lineChart>
      <c:dateAx>
        <c:axId val="6384588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3847424"/>
        <c:crosses val="autoZero"/>
        <c:auto val="1"/>
        <c:lblOffset val="100"/>
        <c:baseTimeUnit val="days"/>
      </c:dateAx>
      <c:valAx>
        <c:axId val="6384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458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34176"/>
        <c:axId val="64435712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34176"/>
        <c:axId val="64435712"/>
      </c:lineChart>
      <c:dateAx>
        <c:axId val="6443417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4435712"/>
        <c:crosses val="autoZero"/>
        <c:auto val="1"/>
        <c:lblOffset val="100"/>
        <c:baseTimeUnit val="days"/>
      </c:dateAx>
      <c:valAx>
        <c:axId val="64435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434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73344"/>
        <c:axId val="64479232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3344"/>
        <c:axId val="64479232"/>
      </c:lineChart>
      <c:dateAx>
        <c:axId val="6447334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4479232"/>
        <c:crosses val="autoZero"/>
        <c:auto val="1"/>
        <c:lblOffset val="100"/>
        <c:baseTimeUnit val="days"/>
      </c:dateAx>
      <c:valAx>
        <c:axId val="64479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473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2032"/>
        <c:axId val="64653568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2032"/>
        <c:axId val="64653568"/>
      </c:lineChart>
      <c:dateAx>
        <c:axId val="646520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4653568"/>
        <c:crosses val="autoZero"/>
        <c:auto val="1"/>
        <c:lblOffset val="100"/>
        <c:baseTimeUnit val="days"/>
      </c:dateAx>
      <c:valAx>
        <c:axId val="64653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6520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30848"/>
        <c:axId val="64840832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0848"/>
        <c:axId val="64840832"/>
      </c:lineChart>
      <c:dateAx>
        <c:axId val="6483084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4840832"/>
        <c:crosses val="autoZero"/>
        <c:auto val="1"/>
        <c:lblOffset val="100"/>
        <c:baseTimeUnit val="days"/>
      </c:dateAx>
      <c:valAx>
        <c:axId val="64840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308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69888"/>
        <c:axId val="64871424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9888"/>
        <c:axId val="64871424"/>
      </c:lineChart>
      <c:dateAx>
        <c:axId val="6486988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4871424"/>
        <c:crosses val="autoZero"/>
        <c:auto val="1"/>
        <c:lblOffset val="100"/>
        <c:baseTimeUnit val="days"/>
      </c:dateAx>
      <c:valAx>
        <c:axId val="6487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98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30880"/>
        <c:axId val="65132416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30880"/>
        <c:axId val="65132416"/>
      </c:lineChart>
      <c:dateAx>
        <c:axId val="651308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5132416"/>
        <c:crosses val="autoZero"/>
        <c:auto val="1"/>
        <c:lblOffset val="100"/>
        <c:baseTimeUnit val="days"/>
      </c:dateAx>
      <c:valAx>
        <c:axId val="65132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1308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tabSelected="1" workbookViewId="0">
      <selection activeCell="E18" sqref="E18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2017</v>
      </c>
      <c r="M3" s="53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2017</v>
      </c>
      <c r="M4" s="53">
        <v>17383</v>
      </c>
      <c r="N4" s="6">
        <v>35603</v>
      </c>
      <c r="O4" s="6">
        <v>14918</v>
      </c>
      <c r="P4" s="6">
        <v>891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2017</v>
      </c>
      <c r="M5" s="53"/>
      <c r="N5" s="6"/>
      <c r="O5" s="6"/>
      <c r="P5" s="6"/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2017</v>
      </c>
      <c r="M6" s="53"/>
      <c r="N6" s="6"/>
      <c r="O6" s="6"/>
      <c r="P6" s="6"/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2017</v>
      </c>
      <c r="M7" s="53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2017</v>
      </c>
      <c r="M8" s="53"/>
      <c r="N8" s="54"/>
      <c r="O8" s="54"/>
      <c r="P8" s="54"/>
    </row>
    <row r="9" spans="1:21" x14ac:dyDescent="0.25">
      <c r="A9" s="62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2017</v>
      </c>
      <c r="M9" s="53"/>
      <c r="N9" s="54"/>
      <c r="O9" s="54"/>
      <c r="P9" s="54"/>
    </row>
    <row r="10" spans="1:21" x14ac:dyDescent="0.25">
      <c r="A10" s="62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2017</v>
      </c>
      <c r="M10" s="53"/>
      <c r="N10" s="6"/>
      <c r="O10" s="6"/>
      <c r="P10" s="6"/>
    </row>
    <row r="11" spans="1:21" x14ac:dyDescent="0.25">
      <c r="A11" s="62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2017</v>
      </c>
      <c r="M11" s="53"/>
      <c r="N11" s="54"/>
      <c r="O11" s="54"/>
      <c r="P11" s="54"/>
    </row>
    <row r="12" spans="1:21" x14ac:dyDescent="0.25">
      <c r="A12" s="62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2017</v>
      </c>
      <c r="M12" s="53"/>
      <c r="N12" s="6"/>
      <c r="O12" s="6"/>
      <c r="P12" s="6"/>
    </row>
    <row r="13" spans="1:21" x14ac:dyDescent="0.25">
      <c r="A13" s="62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2018</v>
      </c>
      <c r="M13" s="53"/>
      <c r="N13" s="54"/>
      <c r="O13" s="54"/>
      <c r="P13" s="54"/>
    </row>
    <row r="14" spans="1:21" x14ac:dyDescent="0.25">
      <c r="A14" s="62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62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62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62">
        <v>42825</v>
      </c>
      <c r="B17" s="6">
        <v>2016</v>
      </c>
      <c r="C17" s="6">
        <v>17348</v>
      </c>
      <c r="D17" s="6">
        <v>35445</v>
      </c>
      <c r="E17" s="6">
        <v>14889</v>
      </c>
      <c r="F17" s="6">
        <v>724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61">
        <v>43190</v>
      </c>
      <c r="B18">
        <v>2017</v>
      </c>
      <c r="C18">
        <v>17377</v>
      </c>
      <c r="D18">
        <v>35608</v>
      </c>
      <c r="E18">
        <v>14912</v>
      </c>
      <c r="F18">
        <v>877</v>
      </c>
      <c r="G18" t="s">
        <v>19</v>
      </c>
    </row>
    <row r="19" spans="1:16" x14ac:dyDescent="0.25">
      <c r="A19" s="61"/>
    </row>
    <row r="20" spans="1:16" x14ac:dyDescent="0.25">
      <c r="A20" s="61"/>
    </row>
    <row r="21" spans="1:16" x14ac:dyDescent="0.25">
      <c r="A21" s="62"/>
      <c r="B21" s="6"/>
      <c r="C21" s="6"/>
      <c r="D21" s="6"/>
      <c r="E21" s="6"/>
      <c r="F21" s="6"/>
      <c r="G21" s="15"/>
    </row>
    <row r="22" spans="1:16" x14ac:dyDescent="0.25">
      <c r="A22" s="62"/>
      <c r="B22" s="6"/>
      <c r="C22" s="6"/>
      <c r="D22" s="6"/>
      <c r="E22" s="6"/>
      <c r="F22" s="6"/>
      <c r="G22" s="11"/>
    </row>
    <row r="23" spans="1:16" x14ac:dyDescent="0.25">
      <c r="A23" s="61"/>
    </row>
    <row r="24" spans="1:16" x14ac:dyDescent="0.25">
      <c r="A24" s="61"/>
      <c r="K24" s="14"/>
      <c r="L24" s="17"/>
    </row>
    <row r="25" spans="1:16" x14ac:dyDescent="0.25">
      <c r="A25" s="61"/>
      <c r="K25" s="5"/>
      <c r="L25" s="17"/>
    </row>
    <row r="26" spans="1:16" x14ac:dyDescent="0.25">
      <c r="A26" s="61"/>
      <c r="K26" s="5"/>
      <c r="L26" s="17"/>
    </row>
    <row r="27" spans="1:16" x14ac:dyDescent="0.25">
      <c r="A27" s="61"/>
      <c r="K27" s="5"/>
      <c r="L27" s="17"/>
    </row>
    <row r="28" spans="1:16" x14ac:dyDescent="0.25">
      <c r="A28" s="61"/>
      <c r="K28" s="5"/>
      <c r="L28" s="17"/>
    </row>
    <row r="29" spans="1:16" x14ac:dyDescent="0.25">
      <c r="A29" s="61"/>
      <c r="K29" s="5"/>
      <c r="L29" s="17"/>
    </row>
    <row r="30" spans="1:16" x14ac:dyDescent="0.25">
      <c r="A30" s="62"/>
      <c r="B30" s="54"/>
      <c r="C30" s="54"/>
      <c r="D30" s="54"/>
      <c r="E30" s="54"/>
      <c r="F30" s="54"/>
      <c r="G30" s="60"/>
      <c r="K30" s="5"/>
      <c r="L30" s="17"/>
    </row>
    <row r="31" spans="1:16" x14ac:dyDescent="0.25">
      <c r="A31" s="61"/>
      <c r="K31" s="5"/>
      <c r="L31" s="17"/>
    </row>
    <row r="32" spans="1:16" x14ac:dyDescent="0.25">
      <c r="A32" s="61"/>
      <c r="K32" s="5"/>
      <c r="L32" s="17"/>
    </row>
    <row r="33" spans="1:12" x14ac:dyDescent="0.25">
      <c r="A33" s="61"/>
      <c r="K33" s="5"/>
      <c r="L33" s="17"/>
    </row>
    <row r="34" spans="1:12" x14ac:dyDescent="0.25">
      <c r="A34" s="61"/>
      <c r="K34" s="5"/>
      <c r="L34" s="12"/>
    </row>
    <row r="35" spans="1:12" x14ac:dyDescent="0.25">
      <c r="A35" s="61"/>
      <c r="K35" s="5"/>
      <c r="L35" s="12"/>
    </row>
    <row r="36" spans="1:12" x14ac:dyDescent="0.25">
      <c r="A36" s="61"/>
      <c r="K36" s="5"/>
      <c r="L36" s="12"/>
    </row>
    <row r="37" spans="1:12" x14ac:dyDescent="0.25">
      <c r="A37" s="61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8" r:id="rId4" name="Export">
          <controlPr defaultSize="0" autoLine="0" r:id="rId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4" name="Export"/>
      </mc:Fallback>
    </mc:AlternateContent>
    <mc:AlternateContent xmlns:mc="http://schemas.openxmlformats.org/markup-compatibility/2006">
      <mc:Choice Requires="x14">
        <control shapeId="16385" r:id="rId6" name="RestoreDefaults">
          <controlPr defaultSize="0" autoLine="0" r:id="rId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6" name="RestoreDefaults"/>
      </mc:Fallback>
    </mc:AlternateContent>
    <mc:AlternateContent xmlns:mc="http://schemas.openxmlformats.org/markup-compatibility/2006">
      <mc:Choice Requires="x14">
        <control shapeId="16386" r:id="rId8" name="Run">
          <controlPr defaultSize="0" autoLine="0" r:id="rId9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8" name="Run"/>
      </mc:Fallback>
    </mc:AlternateContent>
    <mc:AlternateContent xmlns:mc="http://schemas.openxmlformats.org/markup-compatibility/2006">
      <mc:Choice Requires="x14">
        <control shapeId="16387" r:id="rId10" name="Update_Mean">
          <controlPr defaultSize="0" autoLine="0" r:id="rId11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10" name="Update_Mean"/>
      </mc:Fallback>
    </mc:AlternateContent>
    <mc:AlternateContent xmlns:mc="http://schemas.openxmlformats.org/markup-compatibility/2006">
      <mc:Choice Requires="x14">
        <control shapeId="16389" r:id="rId12" name="YearBtn">
          <controlPr defaultSize="0" autoLine="0" r:id="rId13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12" name="YearBtn"/>
      </mc:Fallback>
    </mc:AlternateContent>
    <mc:AlternateContent xmlns:mc="http://schemas.openxmlformats.org/markup-compatibility/2006">
      <mc:Choice Requires="x14">
        <control shapeId="16392" r:id="rId14" name="YearSpinner">
          <controlPr defaultSize="0" autoLine="0" r:id="rId1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14" name="YearSpinn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3.2440000000000002</v>
      </c>
      <c r="C4" s="3">
        <v>0.08</v>
      </c>
      <c r="D4" s="3">
        <v>13.241</v>
      </c>
      <c r="E4" s="3">
        <v>0.17599999999999999</v>
      </c>
      <c r="F4" s="3">
        <v>6.2043200000000001</v>
      </c>
      <c r="G4" s="3">
        <v>0.11105</v>
      </c>
      <c r="I4" s="4" t="s">
        <v>12</v>
      </c>
      <c r="J4" s="3">
        <v>3.2440000000000002</v>
      </c>
      <c r="K4" s="3">
        <v>0.08</v>
      </c>
      <c r="L4" s="3">
        <v>13.241</v>
      </c>
      <c r="M4" s="3">
        <v>0.17599999999999999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31.125548726010024</v>
      </c>
      <c r="C5" s="3">
        <v>0.77215242302254017</v>
      </c>
      <c r="D5" s="3">
        <v>254.91499999999999</v>
      </c>
      <c r="E5" s="3">
        <v>2.927</v>
      </c>
      <c r="F5" s="3">
        <v>165.66627507222779</v>
      </c>
      <c r="G5" s="3">
        <v>3.1582296087435262</v>
      </c>
      <c r="I5" s="4" t="s">
        <v>13</v>
      </c>
      <c r="J5" s="3">
        <v>31.126999999999999</v>
      </c>
      <c r="K5" s="3">
        <v>0.77200000000000002</v>
      </c>
      <c r="L5" s="3">
        <v>254.91499999999999</v>
      </c>
      <c r="M5" s="3">
        <v>2.927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1.4512739899750215E-3</v>
      </c>
      <c r="S5" s="3">
        <f t="shared" ref="S5:S8" si="2">K5-C5</f>
        <v>-1.5242302254014906E-4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24.075071543627903</v>
      </c>
      <c r="C6" s="3">
        <v>0.59382813590707384</v>
      </c>
      <c r="D6" s="3">
        <v>224.57730000000001</v>
      </c>
      <c r="E6" s="3">
        <v>2.5238999999999998</v>
      </c>
      <c r="F6" s="3">
        <v>150.02806697857855</v>
      </c>
      <c r="G6" s="3">
        <v>2.8460116063194367</v>
      </c>
      <c r="I6" s="4" t="s">
        <v>14</v>
      </c>
      <c r="J6" s="3">
        <v>24.075900000000001</v>
      </c>
      <c r="K6" s="3">
        <v>0.59350000000000003</v>
      </c>
      <c r="L6" s="3">
        <v>224.57730000000001</v>
      </c>
      <c r="M6" s="3">
        <v>2.5238999999999998</v>
      </c>
      <c r="N6" s="3">
        <v>150.02806000000001</v>
      </c>
      <c r="O6" s="3">
        <v>2.8460200000000002</v>
      </c>
      <c r="Q6" s="4" t="s">
        <v>3</v>
      </c>
      <c r="R6" s="3">
        <f t="shared" si="1"/>
        <v>8.2845637209771894E-4</v>
      </c>
      <c r="S6" s="3">
        <f t="shared" si="2"/>
        <v>-3.2813590707381213E-4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17.024594361245782</v>
      </c>
      <c r="C7" s="3">
        <v>0.41550384879160751</v>
      </c>
      <c r="D7" s="3">
        <v>194.23939999999999</v>
      </c>
      <c r="E7" s="3">
        <v>2.1204000000000001</v>
      </c>
      <c r="F7" s="3">
        <v>134.38985888492931</v>
      </c>
      <c r="G7" s="3">
        <v>2.5337936038953472</v>
      </c>
      <c r="I7" s="4" t="s">
        <v>15</v>
      </c>
      <c r="J7" s="3">
        <v>17.024999999999999</v>
      </c>
      <c r="K7" s="3">
        <v>0.4153</v>
      </c>
      <c r="L7" s="3">
        <v>194.23939999999999</v>
      </c>
      <c r="M7" s="3">
        <v>2.1204000000000001</v>
      </c>
      <c r="N7" s="3">
        <v>134.38985</v>
      </c>
      <c r="O7" s="3">
        <v>2.5337999999999998</v>
      </c>
      <c r="Q7" s="4" t="s">
        <v>2</v>
      </c>
      <c r="R7" s="3">
        <f t="shared" si="1"/>
        <v>4.056387542163975E-4</v>
      </c>
      <c r="S7" s="3">
        <f t="shared" si="2"/>
        <v>-2.0384879160750824E-4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31.125548726010024</v>
      </c>
      <c r="C8" s="3">
        <v>0.77215242302254017</v>
      </c>
      <c r="D8" s="3">
        <v>254.9153</v>
      </c>
      <c r="E8" s="3">
        <v>2.9272999999999998</v>
      </c>
      <c r="F8" s="3">
        <v>165.66627507222779</v>
      </c>
      <c r="G8" s="3">
        <v>3.1582296087435262</v>
      </c>
      <c r="I8" s="4" t="s">
        <v>16</v>
      </c>
      <c r="J8" s="3">
        <v>31.1267</v>
      </c>
      <c r="K8" s="3">
        <v>0.77170000000000005</v>
      </c>
      <c r="L8" s="3">
        <v>254.9153</v>
      </c>
      <c r="M8" s="3">
        <v>2.9272999999999998</v>
      </c>
      <c r="N8" s="3">
        <v>165.66625999999999</v>
      </c>
      <c r="O8" s="3">
        <v>3.1582400000000002</v>
      </c>
      <c r="Q8" s="4" t="s">
        <v>1</v>
      </c>
      <c r="R8" s="3">
        <f t="shared" si="1"/>
        <v>1.1512739899757207E-3</v>
      </c>
      <c r="S8" s="3">
        <f t="shared" si="2"/>
        <v>-4.5242302254011602E-4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9"/>
  <sheetViews>
    <sheetView workbookViewId="0"/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42825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59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1.5509898279687635</v>
      </c>
      <c r="D5" s="36"/>
      <c r="E5" s="37"/>
      <c r="F5" s="59">
        <v>9.0490888972134975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1.5509898279687635</v>
      </c>
      <c r="D6" s="55">
        <f>J6/12</f>
        <v>2.0063238143920832</v>
      </c>
      <c r="E6" s="37"/>
      <c r="F6" s="59">
        <f>SUM(F4:F5)</f>
        <v>13.467381263867679</v>
      </c>
      <c r="G6" s="36">
        <v>24.075899999999997</v>
      </c>
      <c r="H6" s="37"/>
      <c r="I6" s="40">
        <f>F6-G6+J6</f>
        <v>13.467367036572682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0.10343393942886747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41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4.2474714001671326E-2</v>
      </c>
      <c r="D10" s="41"/>
      <c r="E10" s="49"/>
      <c r="F10" s="41">
        <v>0.2649338673889865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4.2474714001671326E-2</v>
      </c>
      <c r="D11" s="55">
        <f>J11/12</f>
        <v>4.9458478887875836E-2</v>
      </c>
      <c r="E11" s="49"/>
      <c r="F11" s="40">
        <f>SUM(F9:F10)</f>
        <v>0.29069532893409789</v>
      </c>
      <c r="G11" s="36">
        <v>0.59350000000000003</v>
      </c>
      <c r="H11" s="51"/>
      <c r="I11" s="40">
        <f>F11-G11+J11</f>
        <v>0.29069707558860791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11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42825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58"/>
      <c r="L22" s="13" t="s">
        <v>55</v>
      </c>
      <c r="M22" s="58">
        <v>35426.5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3.8822632774900141</v>
      </c>
      <c r="D23" s="36"/>
      <c r="E23" s="37"/>
      <c r="F23" s="41">
        <v>46.569545396807491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8.5309020083835545</v>
      </c>
      <c r="D24" s="36"/>
      <c r="E24" s="37"/>
      <c r="F24" s="41">
        <v>91.713265493345432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12.413165285873568</v>
      </c>
      <c r="D25" s="55">
        <f>J25/12</f>
        <v>12.502338333333334</v>
      </c>
      <c r="E25" s="37"/>
      <c r="F25" s="41">
        <f>SUM(F23:F24)</f>
        <v>138.28281089015292</v>
      </c>
      <c r="G25" s="36">
        <v>150.02806000000001</v>
      </c>
      <c r="H25" s="37"/>
      <c r="I25" s="36">
        <f>F25-G25+J25</f>
        <v>138.28281089015292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164849.30395727503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1.8672462704472641E-2</v>
      </c>
      <c r="D28" s="41"/>
      <c r="E28" s="49"/>
      <c r="F28" s="41">
        <v>0.18199652802280766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0.23552989993366544</v>
      </c>
      <c r="D29" s="41"/>
      <c r="E29" s="49"/>
      <c r="F29" s="41">
        <v>1.9784342229686809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0.25420236263813806</v>
      </c>
      <c r="D30" s="41">
        <f>J30/12</f>
        <v>0.23716833333333334</v>
      </c>
      <c r="E30" s="49"/>
      <c r="F30" s="41">
        <f>SUM(F28:F29)</f>
        <v>2.1604307509914884</v>
      </c>
      <c r="G30" s="36">
        <v>2.8460200000000002</v>
      </c>
      <c r="H30" s="49"/>
      <c r="I30" s="41">
        <f>F30-G30+J30</f>
        <v>2.1604307509914884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626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29</v>
      </c>
      <c r="D34" s="41"/>
      <c r="E34" s="49"/>
      <c r="F34" s="56">
        <v>490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42825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58"/>
      <c r="L41" s="13" t="s">
        <v>55</v>
      </c>
      <c r="M41" s="58">
        <v>15536.5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2.6647893669745435</v>
      </c>
      <c r="D42" s="36"/>
      <c r="E42" s="37"/>
      <c r="F42" s="41">
        <v>60.985485791523203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32.937443632735821</v>
      </c>
      <c r="D43" s="36"/>
      <c r="E43" s="37"/>
      <c r="F43" s="41">
        <v>167.76623988671832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35.602232999710367</v>
      </c>
      <c r="D44" s="55">
        <f>J44/12</f>
        <v>18.714778900146417</v>
      </c>
      <c r="E44" s="37"/>
      <c r="F44" s="41">
        <f>SUM(F42:F43)</f>
        <v>228.75172567824154</v>
      </c>
      <c r="G44" s="36">
        <v>224.57730000000001</v>
      </c>
      <c r="H44" s="37"/>
      <c r="I44" s="36">
        <f>F44-G44+J44</f>
        <v>228.75177247999852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35.575375020113924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-17048.319121579902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6.7844370997328891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1.551185917034081E-2</v>
      </c>
      <c r="D47" s="41"/>
      <c r="E47" s="49"/>
      <c r="F47" s="41">
        <v>0.35867151546358572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0.23312843948122164</v>
      </c>
      <c r="D48" s="41"/>
      <c r="E48" s="49"/>
      <c r="F48" s="41">
        <v>2.0688232227335632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9.1315804717922361E-2</v>
      </c>
    </row>
    <row r="49" spans="1:16" x14ac:dyDescent="0.25">
      <c r="A49" s="34" t="s">
        <v>59</v>
      </c>
      <c r="B49" s="35"/>
      <c r="C49" s="36">
        <f>SUM(C47:C48)</f>
        <v>0.24864029865156245</v>
      </c>
      <c r="D49" s="41">
        <f>J49/12</f>
        <v>0.21032152573267582</v>
      </c>
      <c r="E49" s="49"/>
      <c r="F49" s="41">
        <f>SUM(F47:F48)</f>
        <v>2.427494738197149</v>
      </c>
      <c r="G49" s="36">
        <v>2.5238999999999998</v>
      </c>
      <c r="H49" s="49"/>
      <c r="I49" s="41">
        <f>F49-G49+J49</f>
        <v>2.427453046989259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29606.123187559358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32</v>
      </c>
      <c r="D52" s="41"/>
      <c r="E52" s="49"/>
      <c r="F52" s="56">
        <v>321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182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2017-08-03T03:03:27Z</dcterms:modified>
</cp:coreProperties>
</file>